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awei/Documents/Work/2024- loessPSM/paleosolCO2_CLP/data/"/>
    </mc:Choice>
  </mc:AlternateContent>
  <xr:revisionPtr revIDLastSave="0" documentId="8_{478FFBBF-AD33-6947-9919-AEA17060DD5B}" xr6:coauthVersionLast="47" xr6:coauthVersionMax="47" xr10:uidLastSave="{00000000-0000-0000-0000-000000000000}"/>
  <bookViews>
    <workbookView xWindow="10660" yWindow="2760" windowWidth="27460" windowHeight="16940" activeTab="1" xr2:uid="{E6BC3ACE-A171-C145-B079-DB216252783D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4" i="2" l="1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</calcChain>
</file>

<file path=xl/sharedStrings.xml><?xml version="1.0" encoding="utf-8"?>
<sst xmlns="http://schemas.openxmlformats.org/spreadsheetml/2006/main" count="151" uniqueCount="58">
  <si>
    <t>S2</t>
    <phoneticPr fontId="0" type="noConversion"/>
  </si>
  <si>
    <t>S3</t>
    <phoneticPr fontId="0" type="noConversion"/>
  </si>
  <si>
    <t>S3</t>
  </si>
  <si>
    <t>S4</t>
    <phoneticPr fontId="0" type="noConversion"/>
  </si>
  <si>
    <t>S4</t>
  </si>
  <si>
    <t>S5</t>
    <phoneticPr fontId="0" type="noConversion"/>
  </si>
  <si>
    <t>S6</t>
    <phoneticPr fontId="0" type="noConversion"/>
  </si>
  <si>
    <t>S7</t>
    <phoneticPr fontId="0" type="noConversion"/>
  </si>
  <si>
    <t>S7</t>
  </si>
  <si>
    <t>unit</t>
  </si>
  <si>
    <t>MIS</t>
  </si>
  <si>
    <t>depth</t>
  </si>
  <si>
    <t>age</t>
  </si>
  <si>
    <t>MS</t>
  </si>
  <si>
    <t>d13o</t>
  </si>
  <si>
    <t>d13c</t>
  </si>
  <si>
    <t>ice</t>
  </si>
  <si>
    <t>ice.sd</t>
  </si>
  <si>
    <t>R</t>
  </si>
  <si>
    <t>R.low</t>
  </si>
  <si>
    <t>R.high</t>
  </si>
  <si>
    <t>Sz</t>
  </si>
  <si>
    <t>Sz.low</t>
  </si>
  <si>
    <t>Sz.high</t>
  </si>
  <si>
    <t>S8</t>
    <phoneticPr fontId="0" type="noConversion"/>
  </si>
  <si>
    <t>S9</t>
  </si>
  <si>
    <t>S11</t>
  </si>
  <si>
    <t>S12</t>
  </si>
  <si>
    <t>S13</t>
  </si>
  <si>
    <t>S15</t>
  </si>
  <si>
    <t>S16</t>
  </si>
  <si>
    <t>S18</t>
  </si>
  <si>
    <t>S19</t>
  </si>
  <si>
    <t>S21</t>
  </si>
  <si>
    <t>S22</t>
  </si>
  <si>
    <t>53-57</t>
    <phoneticPr fontId="0" type="noConversion"/>
  </si>
  <si>
    <t>53-57</t>
  </si>
  <si>
    <t>S24</t>
    <phoneticPr fontId="0" type="noConversion"/>
  </si>
  <si>
    <t>S24</t>
  </si>
  <si>
    <t>S25</t>
  </si>
  <si>
    <t>65-67</t>
  </si>
  <si>
    <t>S26</t>
  </si>
  <si>
    <t>73-75</t>
    <phoneticPr fontId="0" type="noConversion"/>
  </si>
  <si>
    <t>73-75</t>
  </si>
  <si>
    <t>S27</t>
  </si>
  <si>
    <t>S28</t>
  </si>
  <si>
    <t>79-81</t>
  </si>
  <si>
    <t>S30</t>
  </si>
  <si>
    <t>S31</t>
    <phoneticPr fontId="0" type="noConversion"/>
  </si>
  <si>
    <t>S31</t>
  </si>
  <si>
    <t>89-91</t>
  </si>
  <si>
    <t>S32</t>
  </si>
  <si>
    <t>101-103</t>
  </si>
  <si>
    <t>Sz.sd</t>
  </si>
  <si>
    <t>CO2</t>
  </si>
  <si>
    <t>CO2.low</t>
  </si>
  <si>
    <t>CO2.high</t>
  </si>
  <si>
    <t>d18c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</si>
</sst>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_ "/>
    <numFmt numFmtId="165" formatCode="0.00_ "/>
    <numFmt numFmtId="166" formatCode="0.0_);[Red]\(0.0\)"/>
    <numFmt numFmtId="167" formatCode="0.000_ "/>
    <numFmt numFmtId="168" formatCode="0_);[Red]\(0\)"/>
    <numFmt numFmtId="169" formatCode="0_ "/>
  </numFmts>
  <fonts count="3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168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vertical="center"/>
    </xf>
    <xf numFmtId="165" fontId="1" fillId="0" borderId="0" xfId="0" applyNumberFormat="1" applyFont="1" applyAlignment="1">
      <alignment vertical="center"/>
    </xf>
    <xf numFmtId="169" fontId="1" fillId="0" borderId="0" xfId="0" applyNumberFormat="1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Fill="1"/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165" fontId="1" fillId="0" borderId="0" xfId="0" applyNumberFormat="1" applyFont="1" applyFill="1" applyAlignment="1">
      <alignment vertical="center"/>
    </xf>
    <xf numFmtId="169" fontId="2" fillId="0" borderId="0" xfId="0" applyNumberFormat="1" applyFont="1" applyFill="1" applyAlignment="1">
      <alignment vertical="center"/>
    </xf>
    <xf numFmtId="164" fontId="1" fillId="0" borderId="0" xfId="0" applyNumberFormat="1" applyFont="1" applyFill="1" applyAlignment="1">
      <alignment vertical="center"/>
    </xf>
    <xf numFmtId="169" fontId="1" fillId="0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23C19-F732-1544-BCEA-0DB190290203}">
  <dimension ref="A1:P23"/>
  <sheetViews>
    <sheetView workbookViewId="0">
      <selection activeCell="G2" sqref="G2:G23"/>
    </sheetView>
  </sheetViews>
  <sheetFormatPr baseColWidth="10" defaultRowHeight="16" x14ac:dyDescent="0.2"/>
  <sheetData>
    <row r="1" spans="1:16" x14ac:dyDescent="0.2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2" t="s">
        <v>15</v>
      </c>
      <c r="G1" s="2" t="s">
        <v>57</v>
      </c>
      <c r="H1" s="2" t="s">
        <v>14</v>
      </c>
      <c r="I1" s="1" t="s">
        <v>16</v>
      </c>
      <c r="J1" s="2" t="s">
        <v>17</v>
      </c>
      <c r="K1" s="3" t="s">
        <v>18</v>
      </c>
      <c r="L1" s="3" t="s">
        <v>19</v>
      </c>
      <c r="M1" s="3" t="s">
        <v>20</v>
      </c>
      <c r="N1" s="1" t="s">
        <v>21</v>
      </c>
      <c r="O1" s="1" t="s">
        <v>22</v>
      </c>
      <c r="P1" s="1" t="s">
        <v>23</v>
      </c>
    </row>
    <row r="2" spans="1:16" x14ac:dyDescent="0.2">
      <c r="A2" s="4" t="s">
        <v>0</v>
      </c>
      <c r="B2" s="5">
        <v>7</v>
      </c>
      <c r="C2" s="6">
        <v>17.5</v>
      </c>
      <c r="D2" s="7">
        <v>0.21628888888888895</v>
      </c>
      <c r="E2" s="8">
        <v>107.97</v>
      </c>
      <c r="F2" s="9">
        <v>-4.4859999999999998</v>
      </c>
      <c r="G2" s="9">
        <v>-8.8119999999999994</v>
      </c>
      <c r="H2" s="9">
        <v>-22.381</v>
      </c>
      <c r="I2" s="4">
        <v>236</v>
      </c>
      <c r="J2" s="4">
        <v>15</v>
      </c>
      <c r="K2" s="10">
        <v>0.66467531223103105</v>
      </c>
      <c r="L2" s="10">
        <v>0.32628559146260799</v>
      </c>
      <c r="M2" s="10">
        <v>1.1318355441208501</v>
      </c>
      <c r="N2" s="11">
        <v>355.818434713736</v>
      </c>
      <c r="O2" s="11">
        <v>305.49386013972099</v>
      </c>
      <c r="P2" s="11">
        <v>418.50309169172601</v>
      </c>
    </row>
    <row r="3" spans="1:16" x14ac:dyDescent="0.2">
      <c r="A3" s="4" t="s">
        <v>0</v>
      </c>
      <c r="B3" s="5">
        <v>7</v>
      </c>
      <c r="C3" s="6">
        <v>18.29</v>
      </c>
      <c r="D3" s="7">
        <v>0.23628444444444444</v>
      </c>
      <c r="E3" s="8">
        <v>156.28</v>
      </c>
      <c r="F3" s="9">
        <v>-7.1449999999999996</v>
      </c>
      <c r="G3" s="9">
        <v>-7.4459999999999997</v>
      </c>
      <c r="H3" s="9">
        <v>-25.062999999999999</v>
      </c>
      <c r="I3" s="4">
        <v>236</v>
      </c>
      <c r="J3" s="4">
        <v>15</v>
      </c>
      <c r="K3" s="10">
        <v>0.497517920116893</v>
      </c>
      <c r="L3" s="10">
        <v>0.25436107881326903</v>
      </c>
      <c r="M3" s="10">
        <v>0.79640356611569696</v>
      </c>
      <c r="N3" s="11">
        <v>475.432465448595</v>
      </c>
      <c r="O3" s="11">
        <v>411.34990115638101</v>
      </c>
      <c r="P3" s="11">
        <v>556.28755965229402</v>
      </c>
    </row>
    <row r="4" spans="1:16" x14ac:dyDescent="0.2">
      <c r="A4" s="4" t="s">
        <v>0</v>
      </c>
      <c r="B4" s="5">
        <v>7</v>
      </c>
      <c r="C4" s="6">
        <v>18.71</v>
      </c>
      <c r="D4" s="7">
        <v>0.24244962962962963</v>
      </c>
      <c r="E4" s="8">
        <v>98.64</v>
      </c>
      <c r="F4" s="9">
        <v>-5.1479999999999997</v>
      </c>
      <c r="G4" s="9">
        <v>-9.141</v>
      </c>
      <c r="H4" s="9">
        <v>-22.722999999999999</v>
      </c>
      <c r="I4" s="4">
        <v>236</v>
      </c>
      <c r="J4" s="4">
        <v>15</v>
      </c>
      <c r="K4" s="10">
        <v>0.57544533460762803</v>
      </c>
      <c r="L4" s="10">
        <v>0.27599425341120698</v>
      </c>
      <c r="M4" s="10">
        <v>1.0041824500147001</v>
      </c>
      <c r="N4" s="11">
        <v>413.14168662769299</v>
      </c>
      <c r="O4" s="11">
        <v>352.89443993798398</v>
      </c>
      <c r="P4" s="11">
        <v>488.56109507077701</v>
      </c>
    </row>
    <row r="5" spans="1:16" x14ac:dyDescent="0.2">
      <c r="A5" s="4" t="s">
        <v>1</v>
      </c>
      <c r="B5" s="5">
        <v>9</v>
      </c>
      <c r="C5" s="6">
        <v>22.099999999999998</v>
      </c>
      <c r="D5" s="7">
        <v>0.29499999999999998</v>
      </c>
      <c r="E5" s="8">
        <v>223.47</v>
      </c>
      <c r="F5" s="9">
        <v>-7.2789999999999999</v>
      </c>
      <c r="G5" s="9">
        <v>-8.077</v>
      </c>
      <c r="H5" s="9">
        <v>-23.687999999999999</v>
      </c>
      <c r="I5" s="4">
        <v>252</v>
      </c>
      <c r="J5" s="4">
        <v>18</v>
      </c>
      <c r="K5" s="10">
        <v>0.34513450475426499</v>
      </c>
      <c r="L5" s="10">
        <v>0.218942881205755</v>
      </c>
      <c r="M5" s="10">
        <v>0.49783374319117701</v>
      </c>
      <c r="N5" s="11">
        <v>733.97933729413603</v>
      </c>
      <c r="O5" s="11">
        <v>610.22293424362601</v>
      </c>
      <c r="P5" s="11">
        <v>903.46496350380903</v>
      </c>
    </row>
    <row r="6" spans="1:16" x14ac:dyDescent="0.2">
      <c r="A6" s="4" t="s">
        <v>1</v>
      </c>
      <c r="B6" s="5">
        <v>9</v>
      </c>
      <c r="C6" s="6">
        <v>22.31</v>
      </c>
      <c r="D6" s="7">
        <v>0.30347999999999992</v>
      </c>
      <c r="E6" s="8">
        <v>205.12</v>
      </c>
      <c r="F6" s="9">
        <v>-6.2910000000000004</v>
      </c>
      <c r="G6" s="9">
        <v>-8.9730000000000008</v>
      </c>
      <c r="H6" s="9">
        <v>-24.145</v>
      </c>
      <c r="I6" s="4">
        <v>252</v>
      </c>
      <c r="J6" s="4">
        <v>18</v>
      </c>
      <c r="K6" s="10">
        <v>0.53698152018513501</v>
      </c>
      <c r="L6" s="10">
        <v>0.39467030196042802</v>
      </c>
      <c r="M6" s="10">
        <v>0.71525443875803796</v>
      </c>
      <c r="N6" s="11">
        <v>470.74335465306501</v>
      </c>
      <c r="O6" s="11">
        <v>404.33843575383003</v>
      </c>
      <c r="P6" s="11">
        <v>551.11643101478296</v>
      </c>
    </row>
    <row r="7" spans="1:16" x14ac:dyDescent="0.2">
      <c r="A7" s="4" t="s">
        <v>2</v>
      </c>
      <c r="B7" s="5">
        <v>9</v>
      </c>
      <c r="C7" s="6">
        <v>22.49</v>
      </c>
      <c r="D7" s="7">
        <v>0.3101199999999999</v>
      </c>
      <c r="E7" s="8">
        <v>195.82</v>
      </c>
      <c r="F7" s="9">
        <v>-6.1449999999999996</v>
      </c>
      <c r="G7" s="9">
        <v>-9.5790000000000006</v>
      </c>
      <c r="H7" s="9">
        <v>-23.344999999999999</v>
      </c>
      <c r="I7" s="4">
        <v>252</v>
      </c>
      <c r="J7" s="4">
        <v>18</v>
      </c>
      <c r="K7" s="10">
        <v>0.473178729340344</v>
      </c>
      <c r="L7" s="10">
        <v>0.31882018647059102</v>
      </c>
      <c r="M7" s="10">
        <v>0.63521318755548595</v>
      </c>
      <c r="N7" s="11">
        <v>534.49303753840604</v>
      </c>
      <c r="O7" s="11">
        <v>454.20115988811602</v>
      </c>
      <c r="P7" s="11">
        <v>641.98294647223895</v>
      </c>
    </row>
    <row r="8" spans="1:16" x14ac:dyDescent="0.2">
      <c r="A8" s="4" t="s">
        <v>2</v>
      </c>
      <c r="B8" s="12">
        <v>9</v>
      </c>
      <c r="C8" s="6">
        <v>22.7</v>
      </c>
      <c r="D8" s="7">
        <v>0.31786666666666658</v>
      </c>
      <c r="E8" s="8">
        <v>181.99</v>
      </c>
      <c r="F8" s="9">
        <v>-6.4029999999999996</v>
      </c>
      <c r="G8" s="9">
        <v>-8.6460000000000008</v>
      </c>
      <c r="H8" s="9">
        <v>-23.414999999999999</v>
      </c>
      <c r="I8" s="4">
        <v>252</v>
      </c>
      <c r="J8" s="4">
        <v>18</v>
      </c>
      <c r="K8" s="10">
        <v>0.43994246517553598</v>
      </c>
      <c r="L8" s="10">
        <v>0.29518593189331099</v>
      </c>
      <c r="M8" s="10">
        <v>0.59722735283097195</v>
      </c>
      <c r="N8" s="11">
        <v>574.25286859396499</v>
      </c>
      <c r="O8" s="11">
        <v>483.770577151098</v>
      </c>
      <c r="P8" s="11">
        <v>689.04938752831299</v>
      </c>
    </row>
    <row r="9" spans="1:16" x14ac:dyDescent="0.2">
      <c r="A9" s="4" t="s">
        <v>2</v>
      </c>
      <c r="B9" s="5">
        <v>9</v>
      </c>
      <c r="C9" s="6">
        <v>22.91</v>
      </c>
      <c r="D9" s="7">
        <v>0.32561333333333325</v>
      </c>
      <c r="E9" s="8">
        <v>181.96</v>
      </c>
      <c r="F9" s="9">
        <v>-6.8959999999999999</v>
      </c>
      <c r="G9" s="9">
        <v>-8.984</v>
      </c>
      <c r="H9" s="9">
        <v>-24.652000000000001</v>
      </c>
      <c r="I9" s="4">
        <v>252</v>
      </c>
      <c r="J9" s="4">
        <v>18</v>
      </c>
      <c r="K9" s="10">
        <v>0.49326285555397198</v>
      </c>
      <c r="L9" s="10">
        <v>0.35347921821143602</v>
      </c>
      <c r="M9" s="10">
        <v>0.64884593311171002</v>
      </c>
      <c r="N9" s="11">
        <v>511.23228546828602</v>
      </c>
      <c r="O9" s="11">
        <v>439.35412271431602</v>
      </c>
      <c r="P9" s="11">
        <v>599.19336191199</v>
      </c>
    </row>
    <row r="10" spans="1:16" x14ac:dyDescent="0.2">
      <c r="A10" s="4" t="s">
        <v>2</v>
      </c>
      <c r="B10" s="5">
        <v>9</v>
      </c>
      <c r="C10" s="6">
        <v>23.09</v>
      </c>
      <c r="D10" s="7">
        <v>0.33225333333333323</v>
      </c>
      <c r="E10" s="8">
        <v>190</v>
      </c>
      <c r="F10" s="9">
        <v>-7.6950000000000003</v>
      </c>
      <c r="G10" s="9">
        <v>-8.0060000000000002</v>
      </c>
      <c r="H10" s="9">
        <v>-25.509</v>
      </c>
      <c r="I10" s="4">
        <v>252</v>
      </c>
      <c r="J10" s="4">
        <v>18</v>
      </c>
      <c r="K10" s="10">
        <v>0.46360304792064</v>
      </c>
      <c r="L10" s="10">
        <v>0.35351852244795101</v>
      </c>
      <c r="M10" s="10">
        <v>0.65219457969439099</v>
      </c>
      <c r="N10" s="11">
        <v>544.167436559262</v>
      </c>
      <c r="O10" s="11">
        <v>467.67047231140702</v>
      </c>
      <c r="P10" s="11">
        <v>634.99534563127997</v>
      </c>
    </row>
    <row r="11" spans="1:16" x14ac:dyDescent="0.2">
      <c r="A11" s="4" t="s">
        <v>3</v>
      </c>
      <c r="B11" s="5">
        <v>11</v>
      </c>
      <c r="C11" s="6">
        <v>27.689999999999998</v>
      </c>
      <c r="D11" s="7">
        <v>0.4017587939698492</v>
      </c>
      <c r="E11" s="8">
        <v>136.86000000000001</v>
      </c>
      <c r="F11" s="9">
        <v>-7.8390000000000004</v>
      </c>
      <c r="G11" s="9">
        <v>-9.3659999999999997</v>
      </c>
      <c r="H11" s="9">
        <v>-25.4</v>
      </c>
      <c r="I11" s="4">
        <v>265</v>
      </c>
      <c r="J11" s="4">
        <v>13</v>
      </c>
      <c r="K11" s="10">
        <v>0.41981706121266699</v>
      </c>
      <c r="L11" s="10">
        <v>0.33717867147108799</v>
      </c>
      <c r="M11" s="10">
        <v>0.50120380229881301</v>
      </c>
      <c r="N11" s="11">
        <v>633.401713419045</v>
      </c>
      <c r="O11" s="11">
        <v>549.67370322923205</v>
      </c>
      <c r="P11" s="11">
        <v>740.68154592483597</v>
      </c>
    </row>
    <row r="12" spans="1:16" x14ac:dyDescent="0.2">
      <c r="A12" s="4" t="s">
        <v>3</v>
      </c>
      <c r="B12" s="5">
        <v>11</v>
      </c>
      <c r="C12" s="6">
        <v>28.3</v>
      </c>
      <c r="D12" s="7">
        <v>0.41095477386934676</v>
      </c>
      <c r="E12" s="8">
        <v>200.4</v>
      </c>
      <c r="F12" s="9">
        <v>-8.2840000000000007</v>
      </c>
      <c r="G12" s="9">
        <v>-8.5830000000000002</v>
      </c>
      <c r="H12" s="9">
        <v>-25.08</v>
      </c>
      <c r="I12" s="4">
        <v>265</v>
      </c>
      <c r="J12" s="4">
        <v>13</v>
      </c>
      <c r="K12" s="10">
        <v>0.33782483429128801</v>
      </c>
      <c r="L12" s="10">
        <v>0.31150836237697999</v>
      </c>
      <c r="M12" s="10">
        <v>0.49785254644962801</v>
      </c>
      <c r="N12" s="11">
        <v>786.58993208280503</v>
      </c>
      <c r="O12" s="11">
        <v>667.67489935392905</v>
      </c>
      <c r="P12" s="11">
        <v>941.36649300728902</v>
      </c>
    </row>
    <row r="13" spans="1:16" x14ac:dyDescent="0.2">
      <c r="A13" s="4" t="s">
        <v>4</v>
      </c>
      <c r="B13" s="5">
        <v>11</v>
      </c>
      <c r="C13" s="6">
        <v>28.689999999999998</v>
      </c>
      <c r="D13" s="7">
        <v>0.41683417085427132</v>
      </c>
      <c r="E13" s="8">
        <v>217.82</v>
      </c>
      <c r="F13" s="9">
        <v>-7.9020000000000001</v>
      </c>
      <c r="G13" s="9">
        <v>-9.1110000000000007</v>
      </c>
      <c r="H13" s="9">
        <v>-24.492999999999999</v>
      </c>
      <c r="I13" s="4">
        <v>265</v>
      </c>
      <c r="J13" s="4">
        <v>13</v>
      </c>
      <c r="K13" s="10">
        <v>0.32978229772034401</v>
      </c>
      <c r="L13" s="10">
        <v>0.30212995720990798</v>
      </c>
      <c r="M13" s="10">
        <v>0.497022451719004</v>
      </c>
      <c r="N13" s="11">
        <v>805.05616329902398</v>
      </c>
      <c r="O13" s="11">
        <v>676.525971390829</v>
      </c>
      <c r="P13" s="11">
        <v>977.60572733174899</v>
      </c>
    </row>
    <row r="14" spans="1:16" x14ac:dyDescent="0.2">
      <c r="A14" s="4" t="s">
        <v>4</v>
      </c>
      <c r="B14" s="5">
        <v>11</v>
      </c>
      <c r="C14" s="6">
        <v>28.9</v>
      </c>
      <c r="D14" s="7">
        <v>0.42</v>
      </c>
      <c r="E14" s="8">
        <v>226.81</v>
      </c>
      <c r="F14" s="9">
        <v>-8.0050000000000008</v>
      </c>
      <c r="G14" s="9">
        <v>-7.4690000000000003</v>
      </c>
      <c r="H14" s="9">
        <v>-24.584</v>
      </c>
      <c r="I14" s="4">
        <v>265</v>
      </c>
      <c r="J14" s="4">
        <v>13</v>
      </c>
      <c r="K14" s="10">
        <v>0.32708532861804002</v>
      </c>
      <c r="L14" s="10">
        <v>0.29946015702923001</v>
      </c>
      <c r="M14" s="10">
        <v>0.490942643178713</v>
      </c>
      <c r="N14" s="11">
        <v>814.920422797372</v>
      </c>
      <c r="O14" s="11">
        <v>687.12591640122196</v>
      </c>
      <c r="P14" s="11">
        <v>993.22043106200999</v>
      </c>
    </row>
    <row r="15" spans="1:16" x14ac:dyDescent="0.2">
      <c r="A15" s="4" t="s">
        <v>5</v>
      </c>
      <c r="B15" s="5">
        <v>13</v>
      </c>
      <c r="C15" s="6">
        <v>34.9</v>
      </c>
      <c r="D15" s="7">
        <v>0.47887444444444438</v>
      </c>
      <c r="E15" s="8">
        <v>109</v>
      </c>
      <c r="F15" s="9">
        <v>-6.1289999999999996</v>
      </c>
      <c r="G15" s="9">
        <v>-7.0380000000000003</v>
      </c>
      <c r="H15" s="9">
        <v>-24.335000000000001</v>
      </c>
      <c r="I15" s="4">
        <v>232</v>
      </c>
      <c r="J15" s="4">
        <v>13</v>
      </c>
      <c r="K15" s="10">
        <v>0.62161982982087305</v>
      </c>
      <c r="L15" s="10">
        <v>0.44443793502301498</v>
      </c>
      <c r="M15" s="10">
        <v>0.68747984178779598</v>
      </c>
      <c r="N15" s="11">
        <v>374.92276662081201</v>
      </c>
      <c r="O15" s="11">
        <v>325.93536161658699</v>
      </c>
      <c r="P15" s="11">
        <v>436.35698893252902</v>
      </c>
    </row>
    <row r="16" spans="1:16" x14ac:dyDescent="0.2">
      <c r="A16" s="4" t="s">
        <v>5</v>
      </c>
      <c r="B16" s="5">
        <v>15</v>
      </c>
      <c r="C16" s="6">
        <v>38.300000000000004</v>
      </c>
      <c r="D16" s="7">
        <v>0.58401702127659583</v>
      </c>
      <c r="E16" s="8">
        <v>116.83</v>
      </c>
      <c r="F16" s="9">
        <v>-6.4889999999999999</v>
      </c>
      <c r="G16" s="9">
        <v>-8.5609999999999999</v>
      </c>
      <c r="H16" s="9">
        <v>-25.588000000000001</v>
      </c>
      <c r="I16" s="4">
        <v>242</v>
      </c>
      <c r="J16" s="4">
        <v>13</v>
      </c>
      <c r="K16" s="10">
        <v>0.62624657130861705</v>
      </c>
      <c r="L16" s="10">
        <v>0.52072757426402705</v>
      </c>
      <c r="M16" s="10">
        <v>0.75897859360482001</v>
      </c>
      <c r="N16" s="11">
        <v>387.22957501892898</v>
      </c>
      <c r="O16" s="11">
        <v>343.42810060703601</v>
      </c>
      <c r="P16" s="11">
        <v>439.229309994826</v>
      </c>
    </row>
    <row r="17" spans="1:16" x14ac:dyDescent="0.2">
      <c r="A17" s="4" t="s">
        <v>5</v>
      </c>
      <c r="B17" s="5">
        <v>15</v>
      </c>
      <c r="C17" s="6">
        <v>38.510000000000005</v>
      </c>
      <c r="D17" s="7">
        <v>0.58945077127659584</v>
      </c>
      <c r="E17" s="8">
        <v>115.15</v>
      </c>
      <c r="F17" s="9">
        <v>-6.9219999999999997</v>
      </c>
      <c r="G17" s="9">
        <v>-8.2560000000000002</v>
      </c>
      <c r="H17" s="9">
        <v>-25.465</v>
      </c>
      <c r="I17" s="4">
        <v>242</v>
      </c>
      <c r="J17" s="4">
        <v>13</v>
      </c>
      <c r="K17" s="10">
        <v>0.54698858905651204</v>
      </c>
      <c r="L17" s="10">
        <v>0.442002265486443</v>
      </c>
      <c r="M17" s="10">
        <v>0.66884646093384303</v>
      </c>
      <c r="N17" s="11">
        <v>443.20595341541099</v>
      </c>
      <c r="O17" s="11">
        <v>389.64883027924498</v>
      </c>
      <c r="P17" s="11">
        <v>507.54391104318103</v>
      </c>
    </row>
    <row r="18" spans="1:16" x14ac:dyDescent="0.2">
      <c r="A18" s="4" t="s">
        <v>6</v>
      </c>
      <c r="B18" s="5">
        <v>17</v>
      </c>
      <c r="C18" s="6">
        <v>45.5</v>
      </c>
      <c r="D18" s="7">
        <v>0.69816702127659536</v>
      </c>
      <c r="E18" s="8">
        <v>135.75</v>
      </c>
      <c r="F18" s="9">
        <v>-6.5220000000000002</v>
      </c>
      <c r="G18" s="9">
        <v>-4.8860000000000001</v>
      </c>
      <c r="H18" s="9">
        <v>-25.14</v>
      </c>
      <c r="I18" s="4">
        <v>227</v>
      </c>
      <c r="J18" s="4">
        <v>7</v>
      </c>
      <c r="K18" s="10">
        <v>0.57601895838041395</v>
      </c>
      <c r="L18" s="10">
        <v>0.47009925367912703</v>
      </c>
      <c r="M18" s="10">
        <v>0.68305324163476799</v>
      </c>
      <c r="N18" s="11">
        <v>395.01087358144201</v>
      </c>
      <c r="O18" s="11">
        <v>349.37348067886302</v>
      </c>
      <c r="P18" s="11">
        <v>449.27795365079299</v>
      </c>
    </row>
    <row r="19" spans="1:16" x14ac:dyDescent="0.2">
      <c r="A19" s="4" t="s">
        <v>7</v>
      </c>
      <c r="B19" s="5">
        <v>19</v>
      </c>
      <c r="C19" s="6">
        <v>49.300000000000004</v>
      </c>
      <c r="D19" s="7">
        <v>0.77123076923076928</v>
      </c>
      <c r="E19" s="8">
        <v>101.3</v>
      </c>
      <c r="F19" s="9">
        <v>-6.9790000000000001</v>
      </c>
      <c r="G19" s="9">
        <v>-8.9809999999999999</v>
      </c>
      <c r="H19" s="9">
        <v>-25.824000000000002</v>
      </c>
      <c r="I19" s="4">
        <v>236</v>
      </c>
      <c r="J19" s="4">
        <v>14</v>
      </c>
      <c r="K19" s="10">
        <v>0.62624489506167302</v>
      </c>
      <c r="L19" s="10">
        <v>0.49407231394032602</v>
      </c>
      <c r="M19" s="10">
        <v>0.76648285421409301</v>
      </c>
      <c r="N19" s="11">
        <v>378.30651338649398</v>
      </c>
      <c r="O19" s="11">
        <v>330.868992163651</v>
      </c>
      <c r="P19" s="11">
        <v>435.61308109240298</v>
      </c>
    </row>
    <row r="20" spans="1:16" x14ac:dyDescent="0.2">
      <c r="A20" s="4" t="s">
        <v>7</v>
      </c>
      <c r="B20" s="5">
        <v>19</v>
      </c>
      <c r="C20" s="6">
        <v>49.510000000000005</v>
      </c>
      <c r="D20" s="7">
        <v>0.77462307692307697</v>
      </c>
      <c r="E20" s="8">
        <v>112.9</v>
      </c>
      <c r="F20" s="9">
        <v>-7.3079999999999998</v>
      </c>
      <c r="G20" s="9">
        <v>-8.9600000000000009</v>
      </c>
      <c r="H20" s="9">
        <v>-25.533999999999999</v>
      </c>
      <c r="I20" s="4">
        <v>236</v>
      </c>
      <c r="J20" s="4">
        <v>14</v>
      </c>
      <c r="K20" s="10">
        <v>0.54199424979893795</v>
      </c>
      <c r="L20" s="10">
        <v>0.41744437995014899</v>
      </c>
      <c r="M20" s="10">
        <v>0.67416613896140898</v>
      </c>
      <c r="N20" s="11">
        <v>436.51005121189598</v>
      </c>
      <c r="O20" s="11">
        <v>378.90497812211498</v>
      </c>
      <c r="P20" s="11">
        <v>508.07966838529302</v>
      </c>
    </row>
    <row r="21" spans="1:16" x14ac:dyDescent="0.2">
      <c r="A21" s="4" t="s">
        <v>8</v>
      </c>
      <c r="B21" s="5">
        <v>19</v>
      </c>
      <c r="C21" s="6">
        <v>49.690000000000005</v>
      </c>
      <c r="D21" s="7">
        <v>0.77753076923076925</v>
      </c>
      <c r="E21" s="8">
        <v>133.03</v>
      </c>
      <c r="F21" s="9">
        <v>-7.8239999999999998</v>
      </c>
      <c r="G21" s="9">
        <v>-8.8320000000000007</v>
      </c>
      <c r="H21" s="9">
        <v>-24.689</v>
      </c>
      <c r="I21" s="4">
        <v>236</v>
      </c>
      <c r="J21" s="4">
        <v>14</v>
      </c>
      <c r="K21" s="10">
        <v>0.38487579531671701</v>
      </c>
      <c r="L21" s="10">
        <v>0.271536872921948</v>
      </c>
      <c r="M21" s="10">
        <v>0.49977983658882202</v>
      </c>
      <c r="N21" s="11">
        <v>615.50966339441197</v>
      </c>
      <c r="O21" s="11">
        <v>518.12854037011095</v>
      </c>
      <c r="P21" s="11">
        <v>742.78906153507103</v>
      </c>
    </row>
    <row r="22" spans="1:16" x14ac:dyDescent="0.2">
      <c r="A22" s="4" t="s">
        <v>8</v>
      </c>
      <c r="B22" s="5">
        <v>19</v>
      </c>
      <c r="C22" s="6">
        <v>49.900000000000006</v>
      </c>
      <c r="D22" s="7">
        <v>0.78092307692307694</v>
      </c>
      <c r="E22" s="8">
        <v>132.1</v>
      </c>
      <c r="F22" s="9">
        <v>-8</v>
      </c>
      <c r="G22" s="9">
        <v>-7.2549999999999999</v>
      </c>
      <c r="H22" s="9">
        <v>-26.202000000000002</v>
      </c>
      <c r="I22" s="4">
        <v>236</v>
      </c>
      <c r="J22" s="4">
        <v>14</v>
      </c>
      <c r="K22" s="10">
        <v>0.506459179589965</v>
      </c>
      <c r="L22" s="10">
        <v>0.40104051177976302</v>
      </c>
      <c r="M22" s="10">
        <v>0.654319801619615</v>
      </c>
      <c r="N22" s="11">
        <v>467.749809200274</v>
      </c>
      <c r="O22" s="11">
        <v>405.20706188914801</v>
      </c>
      <c r="P22" s="11">
        <v>542.15057322392204</v>
      </c>
    </row>
    <row r="23" spans="1:16" x14ac:dyDescent="0.2">
      <c r="A23" s="4" t="s">
        <v>8</v>
      </c>
      <c r="B23" s="5">
        <v>19</v>
      </c>
      <c r="C23" s="6">
        <v>50.290000000000006</v>
      </c>
      <c r="D23" s="7">
        <v>0.78722307692307691</v>
      </c>
      <c r="E23" s="8">
        <v>111.33</v>
      </c>
      <c r="F23" s="9">
        <v>-6.6870000000000003</v>
      </c>
      <c r="G23" s="9">
        <v>-8.9570000000000007</v>
      </c>
      <c r="H23" s="9">
        <v>-25.053999999999998</v>
      </c>
      <c r="I23" s="4">
        <v>236</v>
      </c>
      <c r="J23" s="4">
        <v>14</v>
      </c>
      <c r="K23" s="10">
        <v>0.59298309151496997</v>
      </c>
      <c r="L23" s="10">
        <v>0.474021021491632</v>
      </c>
      <c r="M23" s="10">
        <v>0.77478845730927404</v>
      </c>
      <c r="N23" s="11">
        <v>399.04484513199799</v>
      </c>
      <c r="O23" s="11">
        <v>347.18100905402298</v>
      </c>
      <c r="P23" s="11">
        <v>462.65105700485401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07A40-D1CF-D246-96AF-6047CB6874EA}">
  <dimension ref="A1:O74"/>
  <sheetViews>
    <sheetView tabSelected="1" workbookViewId="0">
      <selection activeCell="H12" sqref="H12"/>
    </sheetView>
  </sheetViews>
  <sheetFormatPr baseColWidth="10" defaultRowHeight="16" x14ac:dyDescent="0.2"/>
  <cols>
    <col min="1" max="16384" width="10.83203125" style="13"/>
  </cols>
  <sheetData>
    <row r="1" spans="1:15" x14ac:dyDescent="0.2">
      <c r="A1" s="13" t="s">
        <v>9</v>
      </c>
      <c r="B1" s="13" t="s">
        <v>10</v>
      </c>
      <c r="C1" s="13" t="s">
        <v>12</v>
      </c>
      <c r="D1" s="13" t="s">
        <v>13</v>
      </c>
      <c r="E1" s="13" t="s">
        <v>15</v>
      </c>
      <c r="F1" s="13" t="s">
        <v>57</v>
      </c>
      <c r="G1" s="13" t="s">
        <v>14</v>
      </c>
      <c r="H1" s="13" t="s">
        <v>21</v>
      </c>
      <c r="I1" s="13" t="s">
        <v>53</v>
      </c>
      <c r="J1" s="13" t="s">
        <v>18</v>
      </c>
      <c r="K1" s="13" t="s">
        <v>19</v>
      </c>
      <c r="L1" s="13" t="s">
        <v>20</v>
      </c>
      <c r="M1" s="13" t="s">
        <v>54</v>
      </c>
      <c r="N1" s="13" t="s">
        <v>55</v>
      </c>
      <c r="O1" s="13" t="s">
        <v>56</v>
      </c>
    </row>
    <row r="2" spans="1:15" x14ac:dyDescent="0.2">
      <c r="A2" s="14" t="s">
        <v>24</v>
      </c>
      <c r="B2" s="15">
        <v>23</v>
      </c>
      <c r="C2" s="16">
        <v>0.86602500000000004</v>
      </c>
      <c r="D2" s="17">
        <v>115.57</v>
      </c>
      <c r="E2" s="18">
        <v>-5.8979999999999997</v>
      </c>
      <c r="F2" s="18">
        <v>-8.2230000000000008</v>
      </c>
      <c r="G2" s="18">
        <v>-23.952000000000002</v>
      </c>
      <c r="H2" s="19">
        <f>2.66*D2+114.9</f>
        <v>422.31619999999998</v>
      </c>
      <c r="I2" s="19">
        <v>87.690413319345041</v>
      </c>
      <c r="J2" s="16">
        <v>0.67006479045914502</v>
      </c>
      <c r="K2" s="16">
        <v>0.46327995581869902</v>
      </c>
      <c r="L2" s="16">
        <v>0.87367452470404905</v>
      </c>
      <c r="M2" s="19">
        <v>275.50539621116798</v>
      </c>
      <c r="N2" s="19">
        <v>178.003665379159</v>
      </c>
      <c r="O2" s="19">
        <v>386.097991526557</v>
      </c>
    </row>
    <row r="3" spans="1:15" x14ac:dyDescent="0.2">
      <c r="A3" s="14" t="s">
        <v>25</v>
      </c>
      <c r="B3" s="15">
        <v>25</v>
      </c>
      <c r="C3" s="16">
        <v>0.93637580208736015</v>
      </c>
      <c r="D3" s="17">
        <v>112.37</v>
      </c>
      <c r="E3" s="18">
        <v>-6.33</v>
      </c>
      <c r="F3" s="18">
        <v>-7.9370000000000003</v>
      </c>
      <c r="G3" s="18">
        <v>-25.984000000000002</v>
      </c>
      <c r="H3" s="19">
        <f>2.66*D3+114.9</f>
        <v>413.80420000000004</v>
      </c>
      <c r="I3" s="19">
        <v>86.86639551088895</v>
      </c>
      <c r="J3" s="16">
        <v>0.74314730962966002</v>
      </c>
      <c r="K3" s="16">
        <v>0.56461909217661799</v>
      </c>
      <c r="L3" s="16">
        <v>0.91931704546980697</v>
      </c>
      <c r="M3" s="19">
        <v>303.01823225885698</v>
      </c>
      <c r="N3" s="19">
        <v>208.742464090862</v>
      </c>
      <c r="O3" s="19">
        <v>401.844584140248</v>
      </c>
    </row>
    <row r="4" spans="1:15" x14ac:dyDescent="0.2">
      <c r="A4" s="14" t="s">
        <v>25</v>
      </c>
      <c r="B4" s="15">
        <v>25</v>
      </c>
      <c r="C4" s="16">
        <v>0.94040092771550088</v>
      </c>
      <c r="D4" s="17">
        <v>146.08000000000001</v>
      </c>
      <c r="E4" s="18">
        <v>-7.52</v>
      </c>
      <c r="F4" s="18">
        <v>-6.31</v>
      </c>
      <c r="G4" s="18">
        <v>-24.911999999999999</v>
      </c>
      <c r="H4" s="19">
        <f>2.66*D4+114.9</f>
        <v>503.47280000000001</v>
      </c>
      <c r="I4" s="19">
        <v>96.248792212794129</v>
      </c>
      <c r="J4" s="16">
        <v>0.43779438340707499</v>
      </c>
      <c r="K4" s="16">
        <v>0.29658932227836399</v>
      </c>
      <c r="L4" s="16">
        <v>0.580875761049641</v>
      </c>
      <c r="M4" s="19">
        <v>216.84655612871899</v>
      </c>
      <c r="N4" s="19">
        <v>137.36297830499899</v>
      </c>
      <c r="O4" s="19">
        <v>302.84949974638198</v>
      </c>
    </row>
    <row r="5" spans="1:15" x14ac:dyDescent="0.2">
      <c r="A5" s="14" t="s">
        <v>25</v>
      </c>
      <c r="B5" s="15">
        <v>25</v>
      </c>
      <c r="C5" s="16">
        <v>0.95471248550444554</v>
      </c>
      <c r="D5" s="17">
        <v>136.47499999999999</v>
      </c>
      <c r="E5" s="18">
        <v>-7.3159999999999998</v>
      </c>
      <c r="F5" s="18">
        <v>-7.41</v>
      </c>
      <c r="G5" s="18">
        <v>-25.917000000000002</v>
      </c>
      <c r="H5" s="19">
        <f>2.66*D5+114.9</f>
        <v>477.92349999999999</v>
      </c>
      <c r="I5" s="19">
        <v>93.427222274582988</v>
      </c>
      <c r="J5" s="16">
        <v>0.57712857856740796</v>
      </c>
      <c r="K5" s="16">
        <v>0.42199034267444901</v>
      </c>
      <c r="L5" s="16">
        <v>0.73123524387670702</v>
      </c>
      <c r="M5" s="19">
        <v>271.30490773958002</v>
      </c>
      <c r="N5" s="19">
        <v>185.34677564734801</v>
      </c>
      <c r="O5" s="19">
        <v>364.79829791239399</v>
      </c>
    </row>
    <row r="6" spans="1:15" x14ac:dyDescent="0.2">
      <c r="A6" s="14" t="s">
        <v>25</v>
      </c>
      <c r="B6" s="15">
        <v>25</v>
      </c>
      <c r="C6" s="16">
        <v>0.95672504831851601</v>
      </c>
      <c r="D6" s="17">
        <v>125.58</v>
      </c>
      <c r="E6" s="18">
        <v>-6.6470000000000002</v>
      </c>
      <c r="F6" s="18">
        <v>-8.0220000000000002</v>
      </c>
      <c r="G6" s="18">
        <v>-24.933</v>
      </c>
      <c r="H6" s="19">
        <f>2.66*D6+114.9</f>
        <v>448.94280000000003</v>
      </c>
      <c r="I6" s="19">
        <v>90.363861726624833</v>
      </c>
      <c r="J6" s="16">
        <v>0.58322656504463999</v>
      </c>
      <c r="K6" s="16">
        <v>0.41804827501483999</v>
      </c>
      <c r="L6" s="16">
        <v>0.75060857505963696</v>
      </c>
      <c r="M6" s="19">
        <v>257.24383963623302</v>
      </c>
      <c r="N6" s="19">
        <v>171.44216596064501</v>
      </c>
      <c r="O6" s="19">
        <v>352.54973119242902</v>
      </c>
    </row>
    <row r="7" spans="1:15" x14ac:dyDescent="0.2">
      <c r="A7" s="14" t="s">
        <v>26</v>
      </c>
      <c r="B7" s="15">
        <v>31</v>
      </c>
      <c r="C7" s="16">
        <v>1.016066021395823</v>
      </c>
      <c r="D7" s="17">
        <v>149.47</v>
      </c>
      <c r="E7" s="18">
        <v>-6.8840000000000003</v>
      </c>
      <c r="F7" s="18">
        <v>-7.6180000000000003</v>
      </c>
      <c r="G7" s="18">
        <v>-25.603999999999999</v>
      </c>
      <c r="H7" s="19">
        <f>2.66*D7+114.9</f>
        <v>512.49020000000007</v>
      </c>
      <c r="I7" s="19">
        <v>97.269757392564316</v>
      </c>
      <c r="J7" s="16">
        <v>0.60331382984797199</v>
      </c>
      <c r="K7" s="16">
        <v>0.432939954448326</v>
      </c>
      <c r="L7" s="16">
        <v>0.772836178397589</v>
      </c>
      <c r="M7" s="19">
        <v>301.68257851895601</v>
      </c>
      <c r="N7" s="19">
        <v>204.402289004447</v>
      </c>
      <c r="O7" s="19">
        <v>416.14477705096698</v>
      </c>
    </row>
    <row r="8" spans="1:15" x14ac:dyDescent="0.2">
      <c r="A8" s="14" t="s">
        <v>26</v>
      </c>
      <c r="B8" s="15">
        <v>31</v>
      </c>
      <c r="C8" s="16">
        <v>1.0186885379521144</v>
      </c>
      <c r="D8" s="17">
        <v>162.97999999999999</v>
      </c>
      <c r="E8" s="18">
        <v>-7.226</v>
      </c>
      <c r="F8" s="18">
        <v>-6.9459999999999997</v>
      </c>
      <c r="G8" s="18">
        <v>-24.321999999999999</v>
      </c>
      <c r="H8" s="19">
        <f>2.66*D8+114.9</f>
        <v>548.42679999999996</v>
      </c>
      <c r="I8" s="19">
        <v>101.4584570072161</v>
      </c>
      <c r="J8" s="16">
        <v>0.41946974614024302</v>
      </c>
      <c r="K8" s="16">
        <v>0.26502334967559399</v>
      </c>
      <c r="L8" s="16">
        <v>0.57297695091607304</v>
      </c>
      <c r="M8" s="19">
        <v>225.039234279293</v>
      </c>
      <c r="N8" s="19">
        <v>135.30411823631999</v>
      </c>
      <c r="O8" s="19">
        <v>324.77637710950899</v>
      </c>
    </row>
    <row r="9" spans="1:15" x14ac:dyDescent="0.2">
      <c r="A9" s="14" t="s">
        <v>26</v>
      </c>
      <c r="B9" s="15">
        <v>31</v>
      </c>
      <c r="C9" s="16">
        <v>1.0239335710646971</v>
      </c>
      <c r="D9" s="17">
        <v>136.15</v>
      </c>
      <c r="E9" s="18">
        <v>-6.2960000000000003</v>
      </c>
      <c r="F9" s="18">
        <v>-7.9989999999999997</v>
      </c>
      <c r="G9" s="18">
        <v>-24.800999999999998</v>
      </c>
      <c r="H9" s="19">
        <f>2.66*D9+114.9</f>
        <v>477.05900000000008</v>
      </c>
      <c r="I9" s="19">
        <v>93.333667496193087</v>
      </c>
      <c r="J9" s="16">
        <v>0.59057292828793295</v>
      </c>
      <c r="K9" s="16">
        <v>0.41705236145406099</v>
      </c>
      <c r="L9" s="16">
        <v>0.76229628382611903</v>
      </c>
      <c r="M9" s="19">
        <v>275.90742020189498</v>
      </c>
      <c r="N9" s="19">
        <v>180.855351267446</v>
      </c>
      <c r="O9" s="19">
        <v>378.805569078411</v>
      </c>
    </row>
    <row r="10" spans="1:15" x14ac:dyDescent="0.2">
      <c r="A10" s="14" t="s">
        <v>26</v>
      </c>
      <c r="B10" s="15">
        <v>31</v>
      </c>
      <c r="C10" s="16">
        <v>1.0278673458991343</v>
      </c>
      <c r="D10" s="17">
        <v>121.45</v>
      </c>
      <c r="E10" s="18">
        <v>-5.6360000000000001</v>
      </c>
      <c r="F10" s="18">
        <v>-7.9889999999999999</v>
      </c>
      <c r="G10" s="18">
        <v>-25.079000000000001</v>
      </c>
      <c r="H10" s="19">
        <f>2.66*D10+114.9</f>
        <v>437.95699999999999</v>
      </c>
      <c r="I10" s="19">
        <v>89.243707079545956</v>
      </c>
      <c r="J10" s="16">
        <v>0.74117339738930899</v>
      </c>
      <c r="K10" s="16">
        <v>0.536664784338162</v>
      </c>
      <c r="L10" s="16">
        <v>0.94028486832157898</v>
      </c>
      <c r="M10" s="19">
        <v>316.92436423544802</v>
      </c>
      <c r="N10" s="19">
        <v>214.39235038035301</v>
      </c>
      <c r="O10" s="19">
        <v>433.21917888109903</v>
      </c>
    </row>
    <row r="11" spans="1:15" x14ac:dyDescent="0.2">
      <c r="A11" s="14" t="s">
        <v>26</v>
      </c>
      <c r="B11" s="15">
        <v>31</v>
      </c>
      <c r="C11" s="16">
        <v>1.0293971472236374</v>
      </c>
      <c r="D11" s="17">
        <v>108.9</v>
      </c>
      <c r="E11" s="18">
        <v>-5.1459999999999999</v>
      </c>
      <c r="F11" s="18">
        <v>-9.6419999999999995</v>
      </c>
      <c r="G11" s="18">
        <v>-23.838999999999999</v>
      </c>
      <c r="H11" s="19">
        <f>2.66*D11+114.9</f>
        <v>404.57400000000007</v>
      </c>
      <c r="I11" s="19">
        <v>85.990467828571724</v>
      </c>
      <c r="J11" s="16">
        <v>0.69919685946166998</v>
      </c>
      <c r="K11" s="16">
        <v>0.48923741963616502</v>
      </c>
      <c r="L11" s="16">
        <v>0.90641722163223704</v>
      </c>
      <c r="M11" s="19">
        <v>273.66030529756102</v>
      </c>
      <c r="N11" s="19">
        <v>179.41744250476799</v>
      </c>
      <c r="O11" s="19">
        <v>385.73649566186702</v>
      </c>
    </row>
    <row r="12" spans="1:15" x14ac:dyDescent="0.2">
      <c r="A12" s="14" t="s">
        <v>27</v>
      </c>
      <c r="B12" s="15">
        <v>33</v>
      </c>
      <c r="C12" s="16">
        <v>1.0590534386143662</v>
      </c>
      <c r="D12" s="17">
        <v>105.13</v>
      </c>
      <c r="E12" s="18">
        <v>-6.085</v>
      </c>
      <c r="F12" s="18">
        <v>-8.82</v>
      </c>
      <c r="G12" s="18">
        <v>-26.013999999999999</v>
      </c>
      <c r="H12" s="19">
        <f>2.66*D12+114.9</f>
        <v>394.54579999999999</v>
      </c>
      <c r="I12" s="19">
        <v>85.06022994787962</v>
      </c>
      <c r="J12" s="16">
        <v>0.81007010687569403</v>
      </c>
      <c r="K12" s="16">
        <v>0.65179610845422797</v>
      </c>
      <c r="L12" s="16">
        <v>0.96739991941244896</v>
      </c>
      <c r="M12" s="19">
        <v>315.03556019173999</v>
      </c>
      <c r="N12" s="19">
        <v>226.74612291963001</v>
      </c>
      <c r="O12" s="19">
        <v>413.56398687878499</v>
      </c>
    </row>
    <row r="13" spans="1:15" x14ac:dyDescent="0.2">
      <c r="A13" s="14" t="s">
        <v>27</v>
      </c>
      <c r="B13" s="15">
        <v>33</v>
      </c>
      <c r="C13" s="16">
        <v>1.0674534386143661</v>
      </c>
      <c r="D13" s="17">
        <v>125</v>
      </c>
      <c r="E13" s="18">
        <v>-6.6050000000000004</v>
      </c>
      <c r="F13" s="18">
        <v>-7.5940000000000003</v>
      </c>
      <c r="G13" s="18">
        <v>-25.818999999999999</v>
      </c>
      <c r="H13" s="19">
        <f>2.66*D13+114.9</f>
        <v>447.4</v>
      </c>
      <c r="I13" s="19">
        <v>85.028559180050792</v>
      </c>
      <c r="J13" s="16">
        <v>0.627534042151079</v>
      </c>
      <c r="K13" s="16">
        <v>0.50956554873765503</v>
      </c>
      <c r="L13" s="16">
        <v>0.74621813630988398</v>
      </c>
      <c r="M13" s="19">
        <v>245.48686527785799</v>
      </c>
      <c r="N13" s="19">
        <v>176.29367535302299</v>
      </c>
      <c r="O13" s="19">
        <v>318.89911768510001</v>
      </c>
    </row>
    <row r="14" spans="1:15" x14ac:dyDescent="0.2">
      <c r="A14" s="14" t="s">
        <v>27</v>
      </c>
      <c r="B14" s="15">
        <v>33</v>
      </c>
      <c r="C14" s="16">
        <v>1.0716534386143663</v>
      </c>
      <c r="D14" s="17">
        <v>122.68</v>
      </c>
      <c r="E14" s="18">
        <v>-6.3029999999999999</v>
      </c>
      <c r="F14" s="18">
        <v>-8.41</v>
      </c>
      <c r="G14" s="18">
        <v>-25.266999999999999</v>
      </c>
      <c r="H14" s="19">
        <f>2.66*D14+114.9</f>
        <v>441.22880000000009</v>
      </c>
      <c r="I14" s="19">
        <v>84.305372401956092</v>
      </c>
      <c r="J14" s="16">
        <v>0.63556276984832205</v>
      </c>
      <c r="K14" s="16">
        <v>0.51050307425641495</v>
      </c>
      <c r="L14" s="16">
        <v>0.762967052829571</v>
      </c>
      <c r="M14" s="19">
        <v>242.53977437825</v>
      </c>
      <c r="N14" s="19">
        <v>172.92745008050201</v>
      </c>
      <c r="O14" s="19">
        <v>317.40001625659198</v>
      </c>
    </row>
    <row r="15" spans="1:15" x14ac:dyDescent="0.2">
      <c r="A15" s="14" t="s">
        <v>28</v>
      </c>
      <c r="B15" s="15">
        <v>35</v>
      </c>
      <c r="C15" s="16">
        <v>1.1680741685413734</v>
      </c>
      <c r="D15" s="17">
        <v>153.52000000000001</v>
      </c>
      <c r="E15" s="18">
        <v>-7.7619999999999996</v>
      </c>
      <c r="F15" s="18">
        <v>-8.3179999999999996</v>
      </c>
      <c r="G15" s="18">
        <v>-25.187999999999999</v>
      </c>
      <c r="H15" s="19">
        <f>2.66*D15+114.9</f>
        <v>523.2632000000001</v>
      </c>
      <c r="I15" s="19">
        <v>98.505783813640491</v>
      </c>
      <c r="J15" s="16">
        <v>0.42712118458257198</v>
      </c>
      <c r="K15" s="16">
        <v>0.24634973651547601</v>
      </c>
      <c r="L15" s="16">
        <v>0.60737491272630295</v>
      </c>
      <c r="M15" s="19">
        <v>211.68037599546901</v>
      </c>
      <c r="N15" s="19">
        <v>120.859745384839</v>
      </c>
      <c r="O15" s="19">
        <v>326.27151355336002</v>
      </c>
    </row>
    <row r="16" spans="1:15" x14ac:dyDescent="0.2">
      <c r="A16" s="14" t="s">
        <v>28</v>
      </c>
      <c r="B16" s="15">
        <v>35</v>
      </c>
      <c r="C16" s="16">
        <v>1.1755605918990373</v>
      </c>
      <c r="D16" s="17">
        <v>190.34</v>
      </c>
      <c r="E16" s="18">
        <v>-7.9409999999999998</v>
      </c>
      <c r="F16" s="18">
        <v>-9.1549999999999994</v>
      </c>
      <c r="G16" s="18">
        <v>-25.135999999999999</v>
      </c>
      <c r="H16" s="19">
        <f>2.66*D16+114.9</f>
        <v>621.20440000000008</v>
      </c>
      <c r="I16" s="19">
        <v>110.45406583786693</v>
      </c>
      <c r="J16" s="16">
        <v>0.40077262307742101</v>
      </c>
      <c r="K16" s="16">
        <v>0.21986397062968499</v>
      </c>
      <c r="L16" s="16">
        <v>0.57944572187165999</v>
      </c>
      <c r="M16" s="19">
        <v>236.16703957858201</v>
      </c>
      <c r="N16" s="19">
        <v>129.63707766591699</v>
      </c>
      <c r="O16" s="19">
        <v>368.29492190157498</v>
      </c>
    </row>
    <row r="17" spans="1:15" x14ac:dyDescent="0.2">
      <c r="A17" s="14" t="s">
        <v>28</v>
      </c>
      <c r="B17" s="15">
        <v>35</v>
      </c>
      <c r="C17" s="16">
        <v>1.1941753935015837</v>
      </c>
      <c r="D17" s="17">
        <v>185.37</v>
      </c>
      <c r="E17" s="18">
        <v>-6.4870000000000001</v>
      </c>
      <c r="F17" s="18">
        <v>-7.7640000000000002</v>
      </c>
      <c r="G17" s="18">
        <v>-24.495000000000001</v>
      </c>
      <c r="H17" s="19">
        <f>2.66*D17+114.9</f>
        <v>607.9842000000001</v>
      </c>
      <c r="I17" s="19">
        <v>108.77443048400201</v>
      </c>
      <c r="J17" s="16">
        <v>0.58339683664083397</v>
      </c>
      <c r="K17" s="16">
        <v>0.340334508726365</v>
      </c>
      <c r="L17" s="16">
        <v>0.82240534600454096</v>
      </c>
      <c r="M17" s="19">
        <v>333.81079588186799</v>
      </c>
      <c r="N17" s="19">
        <v>196.933969087739</v>
      </c>
      <c r="O17" s="19">
        <v>507.67130748192602</v>
      </c>
    </row>
    <row r="18" spans="1:15" x14ac:dyDescent="0.2">
      <c r="A18" s="14" t="s">
        <v>29</v>
      </c>
      <c r="B18" s="15">
        <v>39</v>
      </c>
      <c r="C18" s="16">
        <v>1.2760981414567429</v>
      </c>
      <c r="D18" s="17">
        <v>92.848000000000027</v>
      </c>
      <c r="E18" s="18">
        <v>-5.91</v>
      </c>
      <c r="F18" s="18">
        <v>-9.2789999999999999</v>
      </c>
      <c r="G18" s="18">
        <v>-24.782</v>
      </c>
      <c r="H18" s="19">
        <f>2.66*D18+114.9</f>
        <v>361.8756800000001</v>
      </c>
      <c r="I18" s="19">
        <v>82.193323366203842</v>
      </c>
      <c r="J18" s="16">
        <v>0.64777138153988401</v>
      </c>
      <c r="K18" s="16">
        <v>0.52510932364245499</v>
      </c>
      <c r="L18" s="16">
        <v>0.76805926833012905</v>
      </c>
      <c r="M18" s="19">
        <v>233.82213973862801</v>
      </c>
      <c r="N18" s="19">
        <v>165.43711589185401</v>
      </c>
      <c r="O18" s="19">
        <v>302.48650252792402</v>
      </c>
    </row>
    <row r="19" spans="1:15" x14ac:dyDescent="0.2">
      <c r="A19" s="14" t="s">
        <v>29</v>
      </c>
      <c r="B19" s="15">
        <v>39</v>
      </c>
      <c r="C19" s="16">
        <v>1.2767804670381384</v>
      </c>
      <c r="D19" s="17">
        <v>94.146000000000029</v>
      </c>
      <c r="E19" s="18">
        <v>-5.9119999999999999</v>
      </c>
      <c r="F19" s="18">
        <v>-9.2449999999999992</v>
      </c>
      <c r="G19" s="18">
        <v>-24.22</v>
      </c>
      <c r="H19" s="19">
        <f>2.66*D19+114.9</f>
        <v>365.32836000000009</v>
      </c>
      <c r="I19" s="19">
        <v>82.48397415241071</v>
      </c>
      <c r="J19" s="16">
        <v>0.58692122891655796</v>
      </c>
      <c r="K19" s="16">
        <v>0.46804727724969603</v>
      </c>
      <c r="L19" s="16">
        <v>0.70558034587963903</v>
      </c>
      <c r="M19" s="19">
        <v>213.32646716432001</v>
      </c>
      <c r="N19" s="19">
        <v>148.39280602695499</v>
      </c>
      <c r="O19" s="19">
        <v>278.45103463769198</v>
      </c>
    </row>
    <row r="20" spans="1:15" x14ac:dyDescent="0.2">
      <c r="A20" s="14" t="s">
        <v>29</v>
      </c>
      <c r="B20" s="15">
        <v>39</v>
      </c>
      <c r="C20" s="16">
        <v>1.2781304670381384</v>
      </c>
      <c r="D20" s="17">
        <v>95.444000000000031</v>
      </c>
      <c r="E20" s="18">
        <v>-5.7919999999999998</v>
      </c>
      <c r="F20" s="18">
        <v>-9.2010000000000005</v>
      </c>
      <c r="G20" s="18">
        <v>-24</v>
      </c>
      <c r="H20" s="19">
        <f>2.66*D20+114.9</f>
        <v>368.78104000000008</v>
      </c>
      <c r="I20" s="19">
        <v>82.777618101053136</v>
      </c>
      <c r="J20" s="16">
        <v>0.58421941844224301</v>
      </c>
      <c r="K20" s="16">
        <v>0.46195932625838598</v>
      </c>
      <c r="L20" s="16">
        <v>0.70868782080765502</v>
      </c>
      <c r="M20" s="19">
        <v>214.34207827122199</v>
      </c>
      <c r="N20" s="19">
        <v>149.11865434211001</v>
      </c>
      <c r="O20" s="19">
        <v>280.72509974477498</v>
      </c>
    </row>
    <row r="21" spans="1:15" x14ac:dyDescent="0.2">
      <c r="A21" s="14" t="s">
        <v>29</v>
      </c>
      <c r="B21" s="15">
        <v>39</v>
      </c>
      <c r="C21" s="16">
        <v>1.2814304670381382</v>
      </c>
      <c r="D21" s="17">
        <v>98.040000000000035</v>
      </c>
      <c r="E21" s="18">
        <v>-5.5119999999999996</v>
      </c>
      <c r="F21" s="18">
        <v>-9.1890000000000001</v>
      </c>
      <c r="G21" s="18">
        <v>-22.994</v>
      </c>
      <c r="H21" s="19">
        <f>2.66*D21+114.9</f>
        <v>375.68640000000016</v>
      </c>
      <c r="I21" s="19">
        <v>83.373758659678899</v>
      </c>
      <c r="J21" s="16">
        <v>0.53613435446609703</v>
      </c>
      <c r="K21" s="16">
        <v>0.40072980816026998</v>
      </c>
      <c r="L21" s="16">
        <v>0.67162330257632996</v>
      </c>
      <c r="M21" s="19">
        <v>199.784802897372</v>
      </c>
      <c r="N21" s="19">
        <v>134.19584855525</v>
      </c>
      <c r="O21" s="19">
        <v>268.59939698945101</v>
      </c>
    </row>
    <row r="22" spans="1:15" x14ac:dyDescent="0.2">
      <c r="A22" s="14" t="s">
        <v>29</v>
      </c>
      <c r="B22" s="15">
        <v>39</v>
      </c>
      <c r="C22" s="16">
        <v>1.2827804670381382</v>
      </c>
      <c r="D22" s="17">
        <v>86.502500000000026</v>
      </c>
      <c r="E22" s="18">
        <v>-5.2670000000000003</v>
      </c>
      <c r="F22" s="18">
        <v>-9.1829999999999998</v>
      </c>
      <c r="G22" s="18">
        <v>-23.538</v>
      </c>
      <c r="H22" s="19">
        <f>2.66*D22+114.9</f>
        <v>344.99665000000005</v>
      </c>
      <c r="I22" s="19">
        <v>80.81656616668846</v>
      </c>
      <c r="J22" s="16">
        <v>0.64483298201935502</v>
      </c>
      <c r="K22" s="16">
        <v>0.50759544477010199</v>
      </c>
      <c r="L22" s="16">
        <v>0.78187902569732903</v>
      </c>
      <c r="M22" s="19">
        <v>221.25847262195501</v>
      </c>
      <c r="N22" s="19">
        <v>152.94988441279401</v>
      </c>
      <c r="O22" s="19">
        <v>292.62043932548897</v>
      </c>
    </row>
    <row r="23" spans="1:15" x14ac:dyDescent="0.2">
      <c r="A23" s="14" t="s">
        <v>30</v>
      </c>
      <c r="B23" s="15">
        <v>41</v>
      </c>
      <c r="C23" s="16">
        <v>1.3293039964499023</v>
      </c>
      <c r="D23" s="17">
        <v>117.48666666666665</v>
      </c>
      <c r="E23" s="18">
        <v>-7.3609999999999998</v>
      </c>
      <c r="F23" s="18">
        <v>-8.6300000000000008</v>
      </c>
      <c r="G23" s="18">
        <v>-25.015999999999998</v>
      </c>
      <c r="H23" s="19">
        <f>2.66*D23+114.9</f>
        <v>427.41453333333334</v>
      </c>
      <c r="I23" s="19">
        <v>88.191243441951897</v>
      </c>
      <c r="J23" s="16">
        <v>0.46846634721375502</v>
      </c>
      <c r="K23" s="16">
        <v>0.30535631724296503</v>
      </c>
      <c r="L23" s="16">
        <v>0.62962020088421</v>
      </c>
      <c r="M23" s="19">
        <v>196.03275871702101</v>
      </c>
      <c r="N23" s="19">
        <v>119.21033012117699</v>
      </c>
      <c r="O23" s="19">
        <v>282.11801670635202</v>
      </c>
    </row>
    <row r="24" spans="1:15" x14ac:dyDescent="0.2">
      <c r="A24" s="14" t="s">
        <v>30</v>
      </c>
      <c r="B24" s="15">
        <v>41</v>
      </c>
      <c r="C24" s="16">
        <v>1.3305922317440197</v>
      </c>
      <c r="D24" s="17">
        <v>120.81</v>
      </c>
      <c r="E24" s="18">
        <v>-6.9550000000000001</v>
      </c>
      <c r="F24" s="18">
        <v>-9.0830000000000002</v>
      </c>
      <c r="G24" s="18">
        <v>-25.829000000000001</v>
      </c>
      <c r="H24" s="19">
        <f>2.66*D24+114.9</f>
        <v>436.25459999999998</v>
      </c>
      <c r="I24" s="19">
        <v>89.072242521143764</v>
      </c>
      <c r="J24" s="16">
        <v>0.62981369016489797</v>
      </c>
      <c r="K24" s="16">
        <v>0.44867178133157098</v>
      </c>
      <c r="L24" s="16">
        <v>0.812715190589546</v>
      </c>
      <c r="M24" s="19">
        <v>268.73614053371301</v>
      </c>
      <c r="N24" s="19">
        <v>177.409512237321</v>
      </c>
      <c r="O24" s="19">
        <v>369.71903593622699</v>
      </c>
    </row>
    <row r="25" spans="1:15" x14ac:dyDescent="0.2">
      <c r="A25" s="14" t="s">
        <v>30</v>
      </c>
      <c r="B25" s="15">
        <v>41</v>
      </c>
      <c r="C25" s="16">
        <v>1.3344569376263729</v>
      </c>
      <c r="D25" s="17">
        <v>97.65</v>
      </c>
      <c r="E25" s="18">
        <v>-6.1539999999999999</v>
      </c>
      <c r="F25" s="18">
        <v>-9.9499999999999993</v>
      </c>
      <c r="G25" s="18">
        <v>-23.847000000000001</v>
      </c>
      <c r="H25" s="19">
        <f>2.66*D25+114.9</f>
        <v>374.649</v>
      </c>
      <c r="I25" s="19">
        <v>83.283453618204135</v>
      </c>
      <c r="J25" s="16">
        <v>0.54664843199294699</v>
      </c>
      <c r="K25" s="16">
        <v>0.35419502437852401</v>
      </c>
      <c r="L25" s="16">
        <v>0.74156364411395004</v>
      </c>
      <c r="M25" s="19">
        <v>201.32330715544501</v>
      </c>
      <c r="N25" s="19">
        <v>119.844401355163</v>
      </c>
      <c r="O25" s="19">
        <v>291.24401174795997</v>
      </c>
    </row>
    <row r="26" spans="1:15" x14ac:dyDescent="0.2">
      <c r="A26" s="14" t="s">
        <v>30</v>
      </c>
      <c r="B26" s="15">
        <v>41</v>
      </c>
      <c r="C26" s="16">
        <v>1.3357451729204903</v>
      </c>
      <c r="D26" s="17">
        <v>90.04</v>
      </c>
      <c r="E26" s="18">
        <v>-5.8259999999999996</v>
      </c>
      <c r="F26" s="18">
        <v>-9.9440000000000008</v>
      </c>
      <c r="G26" s="18">
        <v>-24.76</v>
      </c>
      <c r="H26" s="19">
        <f>2.66*D26+114.9</f>
        <v>354.40640000000008</v>
      </c>
      <c r="I26" s="19">
        <v>81.574943372381469</v>
      </c>
      <c r="J26" s="16">
        <v>0.71607164301729198</v>
      </c>
      <c r="K26" s="16">
        <v>0.50626606593788304</v>
      </c>
      <c r="L26" s="16">
        <v>0.92993026194206596</v>
      </c>
      <c r="M26" s="19">
        <v>249.134861914536</v>
      </c>
      <c r="N26" s="19">
        <v>160.66919422536901</v>
      </c>
      <c r="O26" s="19">
        <v>353.17878989658197</v>
      </c>
    </row>
    <row r="27" spans="1:15" x14ac:dyDescent="0.2">
      <c r="A27" s="14" t="s">
        <v>30</v>
      </c>
      <c r="B27" s="15">
        <v>41</v>
      </c>
      <c r="C27" s="16">
        <v>1.337033408214608</v>
      </c>
      <c r="D27" s="17">
        <v>82.43</v>
      </c>
      <c r="E27" s="18">
        <v>-5.8109999999999999</v>
      </c>
      <c r="F27" s="18">
        <v>-9.2149999999999999</v>
      </c>
      <c r="G27" s="18">
        <v>-23.07</v>
      </c>
      <c r="H27" s="19">
        <f>2.66*D27+114.9</f>
        <v>334.16380000000004</v>
      </c>
      <c r="I27" s="19">
        <v>79.972804412062089</v>
      </c>
      <c r="J27" s="16">
        <v>0.51952283668517696</v>
      </c>
      <c r="K27" s="16">
        <v>0.32328784840776897</v>
      </c>
      <c r="L27" s="16">
        <v>0.71641455104797402</v>
      </c>
      <c r="M27" s="19">
        <v>169.24479078638001</v>
      </c>
      <c r="N27" s="19">
        <v>95.888968678567494</v>
      </c>
      <c r="O27" s="19">
        <v>250.04956219570701</v>
      </c>
    </row>
    <row r="28" spans="1:15" x14ac:dyDescent="0.2">
      <c r="A28" s="14" t="s">
        <v>31</v>
      </c>
      <c r="B28" s="15">
        <v>45</v>
      </c>
      <c r="C28" s="16">
        <v>1.3863532004666195</v>
      </c>
      <c r="D28" s="17">
        <v>107.71</v>
      </c>
      <c r="E28" s="18">
        <v>-6.8559999999999999</v>
      </c>
      <c r="F28" s="18">
        <v>-9.0739999999999998</v>
      </c>
      <c r="G28" s="18">
        <v>-25.242999999999999</v>
      </c>
      <c r="H28" s="19">
        <f>2.66*D28+114.9</f>
        <v>401.40859999999998</v>
      </c>
      <c r="I28" s="19">
        <v>85.69439651997574</v>
      </c>
      <c r="J28" s="16">
        <v>0.53696403566022999</v>
      </c>
      <c r="K28" s="16">
        <v>0.42324251827791098</v>
      </c>
      <c r="L28" s="16">
        <v>0.64795262943352006</v>
      </c>
      <c r="M28" s="19">
        <v>214.22864434398801</v>
      </c>
      <c r="N28" s="19">
        <v>150.81184754619599</v>
      </c>
      <c r="O28" s="19">
        <v>280.68660972840598</v>
      </c>
    </row>
    <row r="29" spans="1:15" x14ac:dyDescent="0.2">
      <c r="A29" s="14" t="s">
        <v>31</v>
      </c>
      <c r="B29" s="15">
        <v>45</v>
      </c>
      <c r="C29" s="16">
        <v>1.3894301235435422</v>
      </c>
      <c r="D29" s="17">
        <v>111.52500000000001</v>
      </c>
      <c r="E29" s="18">
        <v>-6.8170000000000002</v>
      </c>
      <c r="F29" s="18">
        <v>-8.9079999999999995</v>
      </c>
      <c r="G29" s="18">
        <v>-24.623000000000001</v>
      </c>
      <c r="H29" s="19">
        <f>2.66*D29+114.9</f>
        <v>411.55650000000003</v>
      </c>
      <c r="I29" s="19">
        <v>86.651384852228972</v>
      </c>
      <c r="J29" s="16">
        <v>0.48063032126444699</v>
      </c>
      <c r="K29" s="16">
        <v>0.37010982746552701</v>
      </c>
      <c r="L29" s="16">
        <v>0.58951017537438299</v>
      </c>
      <c r="M29" s="19">
        <v>196.942049038959</v>
      </c>
      <c r="N29" s="19">
        <v>136.35427031140199</v>
      </c>
      <c r="O29" s="19">
        <v>259.940356621501</v>
      </c>
    </row>
    <row r="30" spans="1:15" x14ac:dyDescent="0.2">
      <c r="A30" s="14" t="s">
        <v>31</v>
      </c>
      <c r="B30" s="15">
        <v>45</v>
      </c>
      <c r="C30" s="16">
        <v>1.3963532004666195</v>
      </c>
      <c r="D30" s="17">
        <v>105.02</v>
      </c>
      <c r="E30" s="18">
        <v>-6.2140000000000004</v>
      </c>
      <c r="F30" s="18">
        <v>-9.5489999999999995</v>
      </c>
      <c r="G30" s="18">
        <v>-23.821000000000002</v>
      </c>
      <c r="H30" s="19">
        <f>2.66*D30+114.9</f>
        <v>394.25319999999999</v>
      </c>
      <c r="I30" s="19">
        <v>85.033429822671778</v>
      </c>
      <c r="J30" s="16">
        <v>0.48858770526616002</v>
      </c>
      <c r="K30" s="16">
        <v>0.36926273461869902</v>
      </c>
      <c r="L30" s="16">
        <v>0.61012478952548899</v>
      </c>
      <c r="M30" s="19">
        <v>190.64115936761601</v>
      </c>
      <c r="N30" s="19">
        <v>130.302713674362</v>
      </c>
      <c r="O30" s="19">
        <v>256.626732481099</v>
      </c>
    </row>
    <row r="31" spans="1:15" x14ac:dyDescent="0.2">
      <c r="A31" s="14" t="s">
        <v>31</v>
      </c>
      <c r="B31" s="15">
        <v>45</v>
      </c>
      <c r="C31" s="16">
        <v>1.3986608927743116</v>
      </c>
      <c r="D31" s="17">
        <v>100.435</v>
      </c>
      <c r="E31" s="18">
        <v>-5.806</v>
      </c>
      <c r="F31" s="18">
        <v>-9.5709999999999997</v>
      </c>
      <c r="G31" s="18">
        <v>-24.434000000000001</v>
      </c>
      <c r="H31" s="19">
        <f>2.66*D31+114.9</f>
        <v>382.05709999999999</v>
      </c>
      <c r="I31" s="19">
        <v>83.934029525466926</v>
      </c>
      <c r="J31" s="16">
        <v>0.62031183894124398</v>
      </c>
      <c r="K31" s="16">
        <v>0.49289202085658201</v>
      </c>
      <c r="L31" s="16">
        <v>0.74876098582273898</v>
      </c>
      <c r="M31" s="19">
        <v>234.71283935190999</v>
      </c>
      <c r="N31" s="19">
        <v>164.49762418128901</v>
      </c>
      <c r="O31" s="19">
        <v>307.51004861973303</v>
      </c>
    </row>
    <row r="32" spans="1:15" x14ac:dyDescent="0.2">
      <c r="A32" s="14" t="s">
        <v>32</v>
      </c>
      <c r="B32" s="15">
        <v>47</v>
      </c>
      <c r="C32" s="16">
        <v>1.4206386840119454</v>
      </c>
      <c r="D32" s="17">
        <v>90.21</v>
      </c>
      <c r="E32" s="18">
        <v>-6.0330000000000004</v>
      </c>
      <c r="F32" s="18">
        <v>-8.8339999999999996</v>
      </c>
      <c r="G32" s="18">
        <v>-25.696999999999999</v>
      </c>
      <c r="H32" s="19">
        <f>2.66*D32+114.9</f>
        <v>354.85860000000002</v>
      </c>
      <c r="I32" s="19">
        <v>81.611972350723093</v>
      </c>
      <c r="J32" s="16">
        <v>0.75417258971164203</v>
      </c>
      <c r="K32" s="16">
        <v>0.55851210233351301</v>
      </c>
      <c r="L32" s="16">
        <v>0.94769178511115304</v>
      </c>
      <c r="M32" s="19">
        <v>261.451318907661</v>
      </c>
      <c r="N32" s="19">
        <v>176.18324851591001</v>
      </c>
      <c r="O32" s="19">
        <v>360.272154367469</v>
      </c>
    </row>
    <row r="33" spans="1:15" x14ac:dyDescent="0.2">
      <c r="A33" s="14" t="s">
        <v>32</v>
      </c>
      <c r="B33" s="15">
        <v>47</v>
      </c>
      <c r="C33" s="16">
        <v>1.4238985265316304</v>
      </c>
      <c r="D33" s="17">
        <v>99.344999999999999</v>
      </c>
      <c r="E33" s="18">
        <v>-5.73</v>
      </c>
      <c r="F33" s="18">
        <v>-9.2270000000000003</v>
      </c>
      <c r="G33" s="18">
        <v>-24.277999999999999</v>
      </c>
      <c r="H33" s="19">
        <f>2.66*D33+114.9</f>
        <v>379.15769999999998</v>
      </c>
      <c r="I33" s="19">
        <v>83.677830998142483</v>
      </c>
      <c r="J33" s="16">
        <v>0.65225529520702097</v>
      </c>
      <c r="K33" s="16">
        <v>0.45891341465218899</v>
      </c>
      <c r="L33" s="16">
        <v>0.84451911435427696</v>
      </c>
      <c r="M33" s="19">
        <v>240.54488929488301</v>
      </c>
      <c r="N33" s="19">
        <v>156.436168217828</v>
      </c>
      <c r="O33" s="19">
        <v>337.16276024031401</v>
      </c>
    </row>
    <row r="34" spans="1:15" x14ac:dyDescent="0.2">
      <c r="A34" s="14" t="s">
        <v>32</v>
      </c>
      <c r="B34" s="15">
        <v>47</v>
      </c>
      <c r="C34" s="16">
        <v>1.427158369051315</v>
      </c>
      <c r="D34" s="17">
        <v>108.48</v>
      </c>
      <c r="E34" s="18">
        <v>-6.96</v>
      </c>
      <c r="F34" s="18">
        <v>-7.9470000000000001</v>
      </c>
      <c r="G34" s="18">
        <v>-25.265999999999998</v>
      </c>
      <c r="H34" s="19">
        <f>2.66*D34+114.9</f>
        <v>403.45680000000004</v>
      </c>
      <c r="I34" s="19">
        <v>85.885717344623288</v>
      </c>
      <c r="J34" s="16">
        <v>0.54883787314448096</v>
      </c>
      <c r="K34" s="16">
        <v>0.390023526701336</v>
      </c>
      <c r="L34" s="16">
        <v>0.70772003169102604</v>
      </c>
      <c r="M34" s="19">
        <v>216.45807314800399</v>
      </c>
      <c r="N34" s="19">
        <v>141.970811869964</v>
      </c>
      <c r="O34" s="19">
        <v>300.618286498798</v>
      </c>
    </row>
    <row r="35" spans="1:15" x14ac:dyDescent="0.2">
      <c r="A35" s="14" t="s">
        <v>32</v>
      </c>
      <c r="B35" s="15">
        <v>47</v>
      </c>
      <c r="C35" s="16">
        <v>1.4336780540906851</v>
      </c>
      <c r="D35" s="17">
        <v>131.88</v>
      </c>
      <c r="E35" s="18">
        <v>-6.7990000000000004</v>
      </c>
      <c r="F35" s="18">
        <v>-7.4550000000000001</v>
      </c>
      <c r="G35" s="18">
        <v>-25.196999999999999</v>
      </c>
      <c r="H35" s="19">
        <f>2.66*D35+114.9</f>
        <v>465.70079999999996</v>
      </c>
      <c r="I35" s="19">
        <v>92.116678919835365</v>
      </c>
      <c r="J35" s="16">
        <v>0.55354359556888799</v>
      </c>
      <c r="K35" s="16">
        <v>0.39187816547340898</v>
      </c>
      <c r="L35" s="16">
        <v>0.71599249267288201</v>
      </c>
      <c r="M35" s="19">
        <v>252.882825408927</v>
      </c>
      <c r="N35" s="19">
        <v>168.15440925557101</v>
      </c>
      <c r="O35" s="19">
        <v>348.983380324319</v>
      </c>
    </row>
    <row r="36" spans="1:15" x14ac:dyDescent="0.2">
      <c r="A36" s="14" t="s">
        <v>33</v>
      </c>
      <c r="B36" s="15">
        <v>51</v>
      </c>
      <c r="C36" s="16">
        <v>1.5159999999999998</v>
      </c>
      <c r="D36" s="17">
        <v>60.65</v>
      </c>
      <c r="E36" s="18">
        <v>-6.3259999999999996</v>
      </c>
      <c r="F36" s="18">
        <v>-9.4540000000000006</v>
      </c>
      <c r="G36" s="18">
        <v>-25.641999999999999</v>
      </c>
      <c r="H36" s="19">
        <f>2.66*D36+114.9</f>
        <v>276.22900000000004</v>
      </c>
      <c r="I36" s="19">
        <v>76.033704861329554</v>
      </c>
      <c r="J36" s="16">
        <v>0.69483243538511597</v>
      </c>
      <c r="K36" s="16">
        <v>0.542948388968716</v>
      </c>
      <c r="L36" s="16">
        <v>0.84586600256232902</v>
      </c>
      <c r="M36" s="19">
        <v>190.95959066831099</v>
      </c>
      <c r="N36" s="19">
        <v>125.284839937339</v>
      </c>
      <c r="O36" s="19">
        <v>259.39170016601201</v>
      </c>
    </row>
    <row r="37" spans="1:15" x14ac:dyDescent="0.2">
      <c r="A37" s="14" t="s">
        <v>33</v>
      </c>
      <c r="B37" s="15">
        <v>51</v>
      </c>
      <c r="C37" s="16">
        <v>1.5191999999999994</v>
      </c>
      <c r="D37" s="17">
        <v>72.34</v>
      </c>
      <c r="E37" s="18">
        <v>-6.383</v>
      </c>
      <c r="F37" s="18">
        <v>-9.2810000000000006</v>
      </c>
      <c r="G37" s="18">
        <v>-25.802</v>
      </c>
      <c r="H37" s="19">
        <f>2.66*D37+114.9</f>
        <v>307.32440000000003</v>
      </c>
      <c r="I37" s="19">
        <v>78.02370802080523</v>
      </c>
      <c r="J37" s="16">
        <v>0.70330706802960996</v>
      </c>
      <c r="K37" s="16">
        <v>0.55102777131826597</v>
      </c>
      <c r="L37" s="16">
        <v>0.85335774656128904</v>
      </c>
      <c r="M37" s="19">
        <v>214.553062673326</v>
      </c>
      <c r="N37" s="19">
        <v>144.28214177514701</v>
      </c>
      <c r="O37" s="19">
        <v>287.953206438199</v>
      </c>
    </row>
    <row r="38" spans="1:15" x14ac:dyDescent="0.2">
      <c r="A38" s="14" t="s">
        <v>33</v>
      </c>
      <c r="B38" s="15">
        <v>51</v>
      </c>
      <c r="C38" s="16">
        <v>1.5207999999999995</v>
      </c>
      <c r="D38" s="17">
        <v>72.19</v>
      </c>
      <c r="E38" s="18">
        <v>-6.335</v>
      </c>
      <c r="F38" s="18">
        <v>-9.4410000000000007</v>
      </c>
      <c r="G38" s="18">
        <v>-25.172000000000001</v>
      </c>
      <c r="H38" s="19">
        <f>2.66*D38+114.9</f>
        <v>306.92539999999997</v>
      </c>
      <c r="I38" s="19">
        <v>77.996306679867331</v>
      </c>
      <c r="J38" s="16">
        <v>0.60609687749145202</v>
      </c>
      <c r="K38" s="16">
        <v>0.46650456410511498</v>
      </c>
      <c r="L38" s="16">
        <v>0.744589568409187</v>
      </c>
      <c r="M38" s="19">
        <v>185.791736009299</v>
      </c>
      <c r="N38" s="19">
        <v>121.16287931026901</v>
      </c>
      <c r="O38" s="19">
        <v>250.65024760817599</v>
      </c>
    </row>
    <row r="39" spans="1:15" x14ac:dyDescent="0.2">
      <c r="A39" s="14" t="s">
        <v>34</v>
      </c>
      <c r="B39" s="15" t="s">
        <v>35</v>
      </c>
      <c r="C39" s="16">
        <v>1.6061722891862973</v>
      </c>
      <c r="D39" s="17">
        <v>101.39666666666668</v>
      </c>
      <c r="E39" s="18">
        <v>-6.9</v>
      </c>
      <c r="F39" s="18">
        <v>-8.9580000000000002</v>
      </c>
      <c r="G39" s="18">
        <v>-25.224</v>
      </c>
      <c r="H39" s="19">
        <f>2.66*D39+114.9</f>
        <v>384.61513333333335</v>
      </c>
      <c r="I39" s="19">
        <v>84.161727929146764</v>
      </c>
      <c r="J39" s="16">
        <v>0.52321814855163995</v>
      </c>
      <c r="K39" s="16">
        <v>0.393492274524952</v>
      </c>
      <c r="L39" s="16">
        <v>0.65065927211414798</v>
      </c>
      <c r="M39" s="19">
        <v>200.66521126037301</v>
      </c>
      <c r="N39" s="19">
        <v>136.14570887677601</v>
      </c>
      <c r="O39" s="19">
        <v>267.991908919867</v>
      </c>
    </row>
    <row r="40" spans="1:15" x14ac:dyDescent="0.2">
      <c r="A40" s="14" t="s">
        <v>34</v>
      </c>
      <c r="B40" s="15" t="s">
        <v>35</v>
      </c>
      <c r="C40" s="16">
        <v>1.6470294320434402</v>
      </c>
      <c r="D40" s="17">
        <v>71.06</v>
      </c>
      <c r="E40" s="18">
        <v>-6.4580000000000002</v>
      </c>
      <c r="F40" s="18">
        <v>-9.4779999999999998</v>
      </c>
      <c r="G40" s="18">
        <v>-24.977</v>
      </c>
      <c r="H40" s="19">
        <f>2.66*D40+114.9</f>
        <v>303.91960000000006</v>
      </c>
      <c r="I40" s="19">
        <v>81.806693432338577</v>
      </c>
      <c r="J40" s="16">
        <v>0.56519484573621404</v>
      </c>
      <c r="K40" s="16">
        <v>0.43223523984675699</v>
      </c>
      <c r="L40" s="16">
        <v>0.70167552077052997</v>
      </c>
      <c r="M40" s="19">
        <v>201.11990324734501</v>
      </c>
      <c r="N40" s="19">
        <v>134.458292898868</v>
      </c>
      <c r="O40" s="19">
        <v>269.55774356715801</v>
      </c>
    </row>
    <row r="41" spans="1:15" x14ac:dyDescent="0.2">
      <c r="A41" s="14" t="s">
        <v>34</v>
      </c>
      <c r="B41" s="15" t="s">
        <v>36</v>
      </c>
      <c r="C41" s="16">
        <v>1.6502631982772067</v>
      </c>
      <c r="D41" s="17">
        <v>62.570000000000007</v>
      </c>
      <c r="E41" s="18">
        <v>-6.2140000000000004</v>
      </c>
      <c r="F41" s="18">
        <v>-9.2859999999999996</v>
      </c>
      <c r="G41" s="18">
        <v>-24.658000000000001</v>
      </c>
      <c r="H41" s="19">
        <f>2.66*D41+114.9</f>
        <v>281.33620000000008</v>
      </c>
      <c r="I41" s="19">
        <v>82.138133924936611</v>
      </c>
      <c r="J41" s="16">
        <v>0.58546927034379204</v>
      </c>
      <c r="K41" s="16">
        <v>0.44368740806167101</v>
      </c>
      <c r="L41" s="16">
        <v>0.72611481238067899</v>
      </c>
      <c r="M41" s="19">
        <v>209.81354328757701</v>
      </c>
      <c r="N41" s="19">
        <v>140.63221381620701</v>
      </c>
      <c r="O41" s="19">
        <v>281.189685495552</v>
      </c>
    </row>
    <row r="42" spans="1:15" x14ac:dyDescent="0.2">
      <c r="A42" s="14" t="s">
        <v>34</v>
      </c>
      <c r="B42" s="15" t="s">
        <v>36</v>
      </c>
      <c r="C42" s="16">
        <v>1.6505840538921797</v>
      </c>
      <c r="D42" s="17">
        <v>58.664999999999999</v>
      </c>
      <c r="E42" s="18">
        <v>-6.6120000000000001</v>
      </c>
      <c r="F42" s="18">
        <v>-8.7729999999999997</v>
      </c>
      <c r="G42" s="18">
        <v>-25.175999999999998</v>
      </c>
      <c r="H42" s="19">
        <f>2.66*D42+114.9</f>
        <v>270.94889999999998</v>
      </c>
      <c r="I42" s="19">
        <v>81.284931802979202</v>
      </c>
      <c r="J42" s="16">
        <v>0.57310183875153997</v>
      </c>
      <c r="K42" s="16">
        <v>0.43737759846795699</v>
      </c>
      <c r="L42" s="16">
        <v>0.71040351045607297</v>
      </c>
      <c r="M42" s="19">
        <v>200.360895244912</v>
      </c>
      <c r="N42" s="19">
        <v>134.13294283779399</v>
      </c>
      <c r="O42" s="19">
        <v>268.40534334082002</v>
      </c>
    </row>
    <row r="43" spans="1:15" x14ac:dyDescent="0.2">
      <c r="A43" s="14" t="s">
        <v>37</v>
      </c>
      <c r="B43" s="15">
        <v>61</v>
      </c>
      <c r="C43" s="16">
        <v>1.7161546421274745</v>
      </c>
      <c r="D43" s="17">
        <v>75.199999999999989</v>
      </c>
      <c r="E43" s="18">
        <v>-5.7930000000000001</v>
      </c>
      <c r="F43" s="18">
        <v>-8.8640000000000008</v>
      </c>
      <c r="G43" s="18">
        <v>-23.878</v>
      </c>
      <c r="H43" s="19">
        <f>2.66*D43+114.9</f>
        <v>314.93200000000002</v>
      </c>
      <c r="I43" s="19">
        <v>78.555137442747792</v>
      </c>
      <c r="J43" s="16">
        <v>0.58752326752792305</v>
      </c>
      <c r="K43" s="16">
        <v>0.46488803839380399</v>
      </c>
      <c r="L43" s="16">
        <v>0.71041538279439598</v>
      </c>
      <c r="M43" s="19">
        <v>183.82851510906099</v>
      </c>
      <c r="N43" s="19">
        <v>124.57015943019699</v>
      </c>
      <c r="O43" s="19">
        <v>245.42330058035901</v>
      </c>
    </row>
    <row r="44" spans="1:15" x14ac:dyDescent="0.2">
      <c r="A44" s="14" t="s">
        <v>37</v>
      </c>
      <c r="B44" s="15">
        <v>61</v>
      </c>
      <c r="C44" s="16">
        <v>1.7186111127157095</v>
      </c>
      <c r="D44" s="17">
        <v>81.99</v>
      </c>
      <c r="E44" s="18">
        <v>-5.2309999999999999</v>
      </c>
      <c r="F44" s="18">
        <v>-9.9589999999999996</v>
      </c>
      <c r="G44" s="18">
        <v>-23.643000000000001</v>
      </c>
      <c r="H44" s="19">
        <f>2.66*D44+114.9</f>
        <v>332.99340000000001</v>
      </c>
      <c r="I44" s="19">
        <v>79.883560159333669</v>
      </c>
      <c r="J44" s="16">
        <v>0.66849195822746099</v>
      </c>
      <c r="K44" s="16">
        <v>0.53375274785371596</v>
      </c>
      <c r="L44" s="16">
        <v>0.80376826193911</v>
      </c>
      <c r="M44" s="19">
        <v>220.199484353565</v>
      </c>
      <c r="N44" s="19">
        <v>153.06597481656499</v>
      </c>
      <c r="O44" s="19">
        <v>291.34056650123</v>
      </c>
    </row>
    <row r="45" spans="1:15" x14ac:dyDescent="0.2">
      <c r="A45" s="14" t="s">
        <v>38</v>
      </c>
      <c r="B45" s="15">
        <v>61</v>
      </c>
      <c r="C45" s="16">
        <v>1.721067583303945</v>
      </c>
      <c r="D45" s="17">
        <v>75</v>
      </c>
      <c r="E45" s="18">
        <v>-4.915</v>
      </c>
      <c r="F45" s="18">
        <v>-10.115</v>
      </c>
      <c r="G45" s="18">
        <v>-23.196999999999999</v>
      </c>
      <c r="H45" s="19">
        <f>2.66*D45+114.9</f>
        <v>314.39999999999998</v>
      </c>
      <c r="I45" s="19">
        <v>78.5174234534947</v>
      </c>
      <c r="J45" s="16">
        <v>0.674204050765145</v>
      </c>
      <c r="K45" s="16">
        <v>0.53586798147039305</v>
      </c>
      <c r="L45" s="16">
        <v>0.81117436508234497</v>
      </c>
      <c r="M45" s="19">
        <v>210.00037152164001</v>
      </c>
      <c r="N45" s="19">
        <v>142.37280389930999</v>
      </c>
      <c r="O45" s="19">
        <v>278.59107412268099</v>
      </c>
    </row>
    <row r="46" spans="1:15" x14ac:dyDescent="0.2">
      <c r="A46" s="14" t="s">
        <v>38</v>
      </c>
      <c r="B46" s="15">
        <v>61</v>
      </c>
      <c r="C46" s="16">
        <v>1.7235240538921801</v>
      </c>
      <c r="D46" s="17">
        <v>68.010000000000005</v>
      </c>
      <c r="E46" s="18">
        <v>-5.0190000000000001</v>
      </c>
      <c r="F46" s="18">
        <v>-9.5229999999999997</v>
      </c>
      <c r="G46" s="18">
        <v>-22.788</v>
      </c>
      <c r="H46" s="19">
        <f>2.66*D46+114.9</f>
        <v>295.8066</v>
      </c>
      <c r="I46" s="19">
        <v>77.251916687772734</v>
      </c>
      <c r="J46" s="16">
        <v>0.60172001086441895</v>
      </c>
      <c r="K46" s="16">
        <v>0.46691416011868903</v>
      </c>
      <c r="L46" s="16">
        <v>0.73823830346483399</v>
      </c>
      <c r="M46" s="19">
        <v>176.709648197544</v>
      </c>
      <c r="N46" s="19">
        <v>116.70209149971799</v>
      </c>
      <c r="O46" s="19">
        <v>239.304156850038</v>
      </c>
    </row>
    <row r="47" spans="1:15" x14ac:dyDescent="0.2">
      <c r="A47" s="14" t="s">
        <v>38</v>
      </c>
      <c r="B47" s="15">
        <v>61</v>
      </c>
      <c r="C47" s="16">
        <v>1.7259805244804156</v>
      </c>
      <c r="D47" s="17">
        <v>64.67</v>
      </c>
      <c r="E47" s="18">
        <v>-5.7389999999999999</v>
      </c>
      <c r="F47" s="18">
        <v>-9.7490000000000006</v>
      </c>
      <c r="G47" s="18">
        <v>-23.672999999999998</v>
      </c>
      <c r="H47" s="19">
        <f>2.66*D47+114.9</f>
        <v>286.92220000000003</v>
      </c>
      <c r="I47" s="19">
        <v>76.684222813570642</v>
      </c>
      <c r="J47" s="16">
        <v>0.57497490533656503</v>
      </c>
      <c r="K47" s="16">
        <v>0.450421692306127</v>
      </c>
      <c r="L47" s="16">
        <v>0.69899039805813601</v>
      </c>
      <c r="M47" s="19">
        <v>163.21561758097999</v>
      </c>
      <c r="N47" s="19">
        <v>108.36400560779001</v>
      </c>
      <c r="O47" s="19">
        <v>221.309477524047</v>
      </c>
    </row>
    <row r="48" spans="1:15" x14ac:dyDescent="0.2">
      <c r="A48" s="14" t="s">
        <v>39</v>
      </c>
      <c r="B48" s="15" t="s">
        <v>40</v>
      </c>
      <c r="C48" s="16">
        <v>1.8090991496514142</v>
      </c>
      <c r="D48" s="17">
        <v>96.79</v>
      </c>
      <c r="E48" s="18">
        <v>-5.3710000000000004</v>
      </c>
      <c r="F48" s="18">
        <v>-7.9820000000000002</v>
      </c>
      <c r="G48" s="18">
        <v>-24.318000000000001</v>
      </c>
      <c r="H48" s="19">
        <f>2.66*D48+114.9</f>
        <v>372.3614</v>
      </c>
      <c r="I48" s="19">
        <v>83.085248299310308</v>
      </c>
      <c r="J48" s="16">
        <v>0.70100359581874405</v>
      </c>
      <c r="K48" s="16">
        <v>0.52750569965835004</v>
      </c>
      <c r="L48" s="16">
        <v>0.87635318417888597</v>
      </c>
      <c r="M48" s="19">
        <v>255.56760981598899</v>
      </c>
      <c r="N48" s="19">
        <v>176.04189174459199</v>
      </c>
      <c r="O48" s="19">
        <v>347.98970736050302</v>
      </c>
    </row>
    <row r="49" spans="1:15" x14ac:dyDescent="0.2">
      <c r="A49" s="14" t="s">
        <v>39</v>
      </c>
      <c r="B49" s="15" t="s">
        <v>40</v>
      </c>
      <c r="C49" s="16">
        <v>1.8241479868607164</v>
      </c>
      <c r="D49" s="17">
        <v>125.66</v>
      </c>
      <c r="E49" s="18">
        <v>-6.5549999999999997</v>
      </c>
      <c r="F49" s="18">
        <v>-7.8949999999999996</v>
      </c>
      <c r="G49" s="18">
        <v>-24.312999999999999</v>
      </c>
      <c r="H49" s="19">
        <f>2.66*D49+114.9</f>
        <v>449.15560000000005</v>
      </c>
      <c r="I49" s="19">
        <v>90.385789986615322</v>
      </c>
      <c r="J49" s="16">
        <v>0.51444565348478699</v>
      </c>
      <c r="K49" s="16">
        <v>0.36562778147157199</v>
      </c>
      <c r="L49" s="16">
        <v>0.65954179617934106</v>
      </c>
      <c r="M49" s="19">
        <v>225.76157823510999</v>
      </c>
      <c r="N49" s="19">
        <v>150.14878635144501</v>
      </c>
      <c r="O49" s="19">
        <v>309.46921696668602</v>
      </c>
    </row>
    <row r="50" spans="1:15" x14ac:dyDescent="0.2">
      <c r="A50" s="14" t="s">
        <v>39</v>
      </c>
      <c r="B50" s="15" t="s">
        <v>40</v>
      </c>
      <c r="C50" s="16">
        <v>1.8279101961630422</v>
      </c>
      <c r="D50" s="17">
        <v>125.35666666666667</v>
      </c>
      <c r="E50" s="18">
        <v>-6.1580000000000004</v>
      </c>
      <c r="F50" s="18">
        <v>-8.8239999999999998</v>
      </c>
      <c r="G50" s="18">
        <v>-24.253</v>
      </c>
      <c r="H50" s="19">
        <f>2.66*D50+114.9</f>
        <v>448.34873333333337</v>
      </c>
      <c r="I50" s="19">
        <v>90.302691120530753</v>
      </c>
      <c r="J50" s="16">
        <v>0.57501438092423096</v>
      </c>
      <c r="K50" s="16">
        <v>0.41911521458124601</v>
      </c>
      <c r="L50" s="16">
        <v>0.73390330982891705</v>
      </c>
      <c r="M50" s="19">
        <v>251.479025193171</v>
      </c>
      <c r="N50" s="19">
        <v>171.58283625237399</v>
      </c>
      <c r="O50" s="19">
        <v>346.03215039771601</v>
      </c>
    </row>
    <row r="51" spans="1:15" x14ac:dyDescent="0.2">
      <c r="A51" s="14" t="s">
        <v>41</v>
      </c>
      <c r="B51" s="15" t="s">
        <v>42</v>
      </c>
      <c r="C51" s="16">
        <v>1.9295781059193648</v>
      </c>
      <c r="D51" s="17">
        <v>81.09</v>
      </c>
      <c r="E51" s="18">
        <v>-4.6150000000000002</v>
      </c>
      <c r="F51" s="18">
        <v>-8.9740000000000002</v>
      </c>
      <c r="G51" s="18">
        <v>-23.074000000000002</v>
      </c>
      <c r="H51" s="19">
        <f>2.66*D51+114.9</f>
        <v>330.59940000000006</v>
      </c>
      <c r="I51" s="19">
        <v>79.702195795794594</v>
      </c>
      <c r="J51" s="16">
        <v>0.69270245060475699</v>
      </c>
      <c r="K51" s="16">
        <v>0.58654125137655699</v>
      </c>
      <c r="L51" s="16">
        <v>0.79979911948014304</v>
      </c>
      <c r="M51" s="19">
        <v>228.813656366765</v>
      </c>
      <c r="N51" s="19">
        <v>163.934766925806</v>
      </c>
      <c r="O51" s="19">
        <v>294.12304191103499</v>
      </c>
    </row>
    <row r="52" spans="1:15" x14ac:dyDescent="0.2">
      <c r="A52" s="14" t="s">
        <v>41</v>
      </c>
      <c r="B52" s="15" t="s">
        <v>42</v>
      </c>
      <c r="C52" s="16">
        <v>1.9354012134890863</v>
      </c>
      <c r="D52" s="17">
        <v>82.73</v>
      </c>
      <c r="E52" s="18">
        <v>-4.5780000000000003</v>
      </c>
      <c r="F52" s="18">
        <v>-8.9629999999999992</v>
      </c>
      <c r="G52" s="18">
        <v>-23.247</v>
      </c>
      <c r="H52" s="19">
        <f>2.66*D52+114.9</f>
        <v>334.96180000000004</v>
      </c>
      <c r="I52" s="19">
        <v>80.033869206757728</v>
      </c>
      <c r="J52" s="16">
        <v>0.76418698767771298</v>
      </c>
      <c r="K52" s="16">
        <v>0.64362674455976698</v>
      </c>
      <c r="L52" s="16">
        <v>0.88229108856043703</v>
      </c>
      <c r="M52" s="19">
        <v>254.34311387516701</v>
      </c>
      <c r="N52" s="19">
        <v>185.2811902105</v>
      </c>
      <c r="O52" s="19">
        <v>329.05484758764601</v>
      </c>
    </row>
    <row r="53" spans="1:15" x14ac:dyDescent="0.2">
      <c r="A53" s="14" t="s">
        <v>41</v>
      </c>
      <c r="B53" s="15" t="s">
        <v>43</v>
      </c>
      <c r="C53" s="16">
        <v>1.9470474286285289</v>
      </c>
      <c r="D53" s="17">
        <v>90.826666666666668</v>
      </c>
      <c r="E53" s="18">
        <v>-4.9740000000000002</v>
      </c>
      <c r="F53" s="18">
        <v>-8.8040000000000003</v>
      </c>
      <c r="G53" s="18">
        <v>-23.576000000000001</v>
      </c>
      <c r="H53" s="19">
        <f>2.66*D53+114.9</f>
        <v>356.49893333333335</v>
      </c>
      <c r="I53" s="19">
        <v>81.746737498714481</v>
      </c>
      <c r="J53" s="16">
        <v>0.71058623424692202</v>
      </c>
      <c r="K53" s="16">
        <v>0.60350407899983405</v>
      </c>
      <c r="L53" s="16">
        <v>0.81863330497821396</v>
      </c>
      <c r="M53" s="19">
        <v>252.45664442121301</v>
      </c>
      <c r="N53" s="19">
        <v>186.73424016416899</v>
      </c>
      <c r="O53" s="19">
        <v>322.64161838657401</v>
      </c>
    </row>
    <row r="54" spans="1:15" x14ac:dyDescent="0.2">
      <c r="A54" s="14" t="s">
        <v>41</v>
      </c>
      <c r="B54" s="15" t="s">
        <v>43</v>
      </c>
      <c r="C54" s="16">
        <v>1.9557820899831106</v>
      </c>
      <c r="D54" s="17">
        <v>96.98</v>
      </c>
      <c r="E54" s="18">
        <v>-4.8570000000000002</v>
      </c>
      <c r="F54" s="18">
        <v>-9.2110000000000003</v>
      </c>
      <c r="G54" s="18">
        <v>-23.533999999999999</v>
      </c>
      <c r="H54" s="19">
        <f>2.66*D54+114.9</f>
        <v>372.86680000000001</v>
      </c>
      <c r="I54" s="19">
        <v>83.128927526802926</v>
      </c>
      <c r="J54" s="16">
        <v>0.704475337324729</v>
      </c>
      <c r="K54" s="16">
        <v>0.59780686012700301</v>
      </c>
      <c r="L54" s="16">
        <v>0.81140541983419701</v>
      </c>
      <c r="M54" s="19">
        <v>261.60327310063002</v>
      </c>
      <c r="N54" s="19">
        <v>192.04328637876199</v>
      </c>
      <c r="O54" s="19">
        <v>334.11548941659902</v>
      </c>
    </row>
    <row r="55" spans="1:15" x14ac:dyDescent="0.2">
      <c r="A55" s="14" t="s">
        <v>41</v>
      </c>
      <c r="B55" s="15" t="s">
        <v>43</v>
      </c>
      <c r="C55" s="16">
        <v>1.9616051975528317</v>
      </c>
      <c r="D55" s="17">
        <v>91.67</v>
      </c>
      <c r="E55" s="18">
        <v>-4.6989999999999998</v>
      </c>
      <c r="F55" s="18">
        <v>-9.2759999999999998</v>
      </c>
      <c r="G55" s="18">
        <v>-23.626999999999999</v>
      </c>
      <c r="H55" s="19">
        <f>2.66*D55+114.9</f>
        <v>358.74220000000003</v>
      </c>
      <c r="I55" s="19">
        <v>81.932160829761642</v>
      </c>
      <c r="J55" s="16">
        <v>0.77260398860752999</v>
      </c>
      <c r="K55" s="16">
        <v>0.65685176148833901</v>
      </c>
      <c r="L55" s="16">
        <v>0.888368074148566</v>
      </c>
      <c r="M55" s="19">
        <v>274.65012407420801</v>
      </c>
      <c r="N55" s="19">
        <v>202.09554579502799</v>
      </c>
      <c r="O55" s="19">
        <v>352.31000254024201</v>
      </c>
    </row>
    <row r="56" spans="1:15" x14ac:dyDescent="0.2">
      <c r="A56" s="14" t="s">
        <v>44</v>
      </c>
      <c r="B56" s="15">
        <v>77</v>
      </c>
      <c r="C56" s="16">
        <v>2.0435008606148681</v>
      </c>
      <c r="D56" s="17">
        <v>68.28</v>
      </c>
      <c r="E56" s="18">
        <v>-5.9480000000000004</v>
      </c>
      <c r="F56" s="18">
        <v>-8.8360000000000003</v>
      </c>
      <c r="G56" s="18">
        <v>-23.245999999999999</v>
      </c>
      <c r="H56" s="19">
        <f>2.66*D56+114.9</f>
        <v>296.52480000000003</v>
      </c>
      <c r="I56" s="19">
        <v>77.298869261885187</v>
      </c>
      <c r="J56" s="16">
        <v>0.51523865348632303</v>
      </c>
      <c r="K56" s="16">
        <v>0.32265601387675003</v>
      </c>
      <c r="L56" s="16">
        <v>0.70540004192331696</v>
      </c>
      <c r="M56" s="19">
        <v>147.26994087943001</v>
      </c>
      <c r="N56" s="19">
        <v>82.913318694684804</v>
      </c>
      <c r="O56" s="19">
        <v>222.120946596973</v>
      </c>
    </row>
    <row r="57" spans="1:15" x14ac:dyDescent="0.2">
      <c r="A57" s="14" t="s">
        <v>44</v>
      </c>
      <c r="B57" s="15">
        <v>77</v>
      </c>
      <c r="C57" s="16">
        <v>2.0498608606148676</v>
      </c>
      <c r="D57" s="17">
        <v>71.290000000000006</v>
      </c>
      <c r="E57" s="18">
        <v>-5.0919999999999996</v>
      </c>
      <c r="F57" s="18">
        <v>-8.8810000000000002</v>
      </c>
      <c r="G57" s="18">
        <v>-22.863</v>
      </c>
      <c r="H57" s="19">
        <f>2.66*D57+114.9</f>
        <v>304.53140000000002</v>
      </c>
      <c r="I57" s="19">
        <v>77.832893189640899</v>
      </c>
      <c r="J57" s="16">
        <v>0.63237853700287905</v>
      </c>
      <c r="K57" s="16">
        <v>0.40689242437906797</v>
      </c>
      <c r="L57" s="16">
        <v>0.856873741323392</v>
      </c>
      <c r="M57" s="19">
        <v>184.93600725429201</v>
      </c>
      <c r="N57" s="19">
        <v>109.11758017673699</v>
      </c>
      <c r="O57" s="19">
        <v>277.20326254077702</v>
      </c>
    </row>
    <row r="58" spans="1:15" x14ac:dyDescent="0.2">
      <c r="A58" s="14" t="s">
        <v>44</v>
      </c>
      <c r="B58" s="15">
        <v>77</v>
      </c>
      <c r="C58" s="16">
        <v>2.0519808606148673</v>
      </c>
      <c r="D58" s="17">
        <v>71.430000000000007</v>
      </c>
      <c r="E58" s="18">
        <v>-5.17</v>
      </c>
      <c r="F58" s="18">
        <v>-8.5549999999999997</v>
      </c>
      <c r="G58" s="18">
        <v>-23.632000000000001</v>
      </c>
      <c r="H58" s="19">
        <f>2.66*D58+114.9</f>
        <v>304.90380000000005</v>
      </c>
      <c r="I58" s="19">
        <v>77.858200848486632</v>
      </c>
      <c r="J58" s="16">
        <v>0.74015894907254498</v>
      </c>
      <c r="K58" s="16">
        <v>0.49691530088156599</v>
      </c>
      <c r="L58" s="16">
        <v>0.97980308403739502</v>
      </c>
      <c r="M58" s="19">
        <v>216.74755363781</v>
      </c>
      <c r="N58" s="19">
        <v>132.654217105745</v>
      </c>
      <c r="O58" s="19">
        <v>318.75962367983601</v>
      </c>
    </row>
    <row r="59" spans="1:15" x14ac:dyDescent="0.2">
      <c r="A59" s="14" t="s">
        <v>45</v>
      </c>
      <c r="B59" s="15" t="s">
        <v>46</v>
      </c>
      <c r="C59" s="16">
        <v>2.1035555555555527</v>
      </c>
      <c r="D59" s="17">
        <v>63.57</v>
      </c>
      <c r="E59" s="18">
        <v>-5.63</v>
      </c>
      <c r="F59" s="18">
        <v>-8.0370000000000008</v>
      </c>
      <c r="G59" s="18">
        <v>-24.277999999999999</v>
      </c>
      <c r="H59" s="19">
        <f>2.66*D59+114.9</f>
        <v>283.99620000000004</v>
      </c>
      <c r="I59" s="19">
        <v>76.502630455350314</v>
      </c>
      <c r="J59" s="16">
        <v>0.67281385394975501</v>
      </c>
      <c r="K59" s="16">
        <v>0.50599621742276801</v>
      </c>
      <c r="L59" s="16">
        <v>0.83870563913102503</v>
      </c>
      <c r="M59" s="19">
        <v>188.108290352317</v>
      </c>
      <c r="N59" s="19">
        <v>120.002263779074</v>
      </c>
      <c r="O59" s="19">
        <v>262.95253337133897</v>
      </c>
    </row>
    <row r="60" spans="1:15" x14ac:dyDescent="0.2">
      <c r="A60" s="14" t="s">
        <v>45</v>
      </c>
      <c r="B60" s="15" t="s">
        <v>46</v>
      </c>
      <c r="C60" s="16">
        <v>2.114444444444441</v>
      </c>
      <c r="D60" s="17">
        <v>67.040000000000006</v>
      </c>
      <c r="E60" s="18">
        <v>-4.7430000000000003</v>
      </c>
      <c r="F60" s="18">
        <v>-9.1760000000000002</v>
      </c>
      <c r="G60" s="18">
        <v>-23.172000000000001</v>
      </c>
      <c r="H60" s="19">
        <f>2.66*D60+114.9</f>
        <v>293.22640000000001</v>
      </c>
      <c r="I60" s="19">
        <v>77.084537801882988</v>
      </c>
      <c r="J60" s="16">
        <v>0.690642684194405</v>
      </c>
      <c r="K60" s="16">
        <v>0.51143473015653595</v>
      </c>
      <c r="L60" s="16">
        <v>0.86860977570809705</v>
      </c>
      <c r="M60" s="19">
        <v>199.22345487931599</v>
      </c>
      <c r="N60" s="19">
        <v>128.82934730688899</v>
      </c>
      <c r="O60" s="19">
        <v>275.67791952523203</v>
      </c>
    </row>
    <row r="61" spans="1:15" x14ac:dyDescent="0.2">
      <c r="A61" s="14" t="s">
        <v>45</v>
      </c>
      <c r="B61" s="15" t="s">
        <v>46</v>
      </c>
      <c r="C61" s="16">
        <v>2.130777777777773</v>
      </c>
      <c r="D61" s="17">
        <v>62.14</v>
      </c>
      <c r="E61" s="18">
        <v>-4.22</v>
      </c>
      <c r="F61" s="18">
        <v>-8.6959999999999997</v>
      </c>
      <c r="G61" s="18">
        <v>-23.922999999999998</v>
      </c>
      <c r="H61" s="19">
        <f>2.66*D61+114.9</f>
        <v>280.19240000000002</v>
      </c>
      <c r="I61" s="19">
        <v>76.270591182415757</v>
      </c>
      <c r="J61" s="16">
        <v>1.03181801774534</v>
      </c>
      <c r="K61" s="16">
        <v>0.78384251941782701</v>
      </c>
      <c r="L61" s="16">
        <v>1.27424325880821</v>
      </c>
      <c r="M61" s="19">
        <v>282.47935941808402</v>
      </c>
      <c r="N61" s="19">
        <v>184.04261570148699</v>
      </c>
      <c r="O61" s="19">
        <v>393.55133583583</v>
      </c>
    </row>
    <row r="62" spans="1:15" x14ac:dyDescent="0.2">
      <c r="A62" s="14" t="s">
        <v>47</v>
      </c>
      <c r="B62" s="15">
        <v>87</v>
      </c>
      <c r="C62" s="16">
        <v>2.2546614173228354</v>
      </c>
      <c r="D62" s="17">
        <v>66.726666666666674</v>
      </c>
      <c r="E62" s="18">
        <v>-4.6859999999999999</v>
      </c>
      <c r="F62" s="18">
        <v>-8.6609999999999996</v>
      </c>
      <c r="G62" s="18">
        <v>-24.629000000000001</v>
      </c>
      <c r="H62" s="19">
        <f>2.66*D62+114.9</f>
        <v>292.39293333333336</v>
      </c>
      <c r="I62" s="19">
        <v>77.030907380673753</v>
      </c>
      <c r="J62" s="16">
        <v>0.95591898344189097</v>
      </c>
      <c r="K62" s="16">
        <v>0.68423064953318502</v>
      </c>
      <c r="L62" s="16">
        <v>1.2263361959794401</v>
      </c>
      <c r="M62" s="19">
        <v>270.10313432298898</v>
      </c>
      <c r="N62" s="19">
        <v>173.03959872207801</v>
      </c>
      <c r="O62" s="19">
        <v>386.04360357499098</v>
      </c>
    </row>
    <row r="63" spans="1:15" x14ac:dyDescent="0.2">
      <c r="A63" s="14" t="s">
        <v>47</v>
      </c>
      <c r="B63" s="15">
        <v>87</v>
      </c>
      <c r="C63" s="16">
        <v>2.2628818897637792</v>
      </c>
      <c r="D63" s="17">
        <v>74.823333333333338</v>
      </c>
      <c r="E63" s="18">
        <v>-5.1100000000000003</v>
      </c>
      <c r="F63" s="18">
        <v>-8.3879999999999999</v>
      </c>
      <c r="G63" s="18">
        <v>-23.451000000000001</v>
      </c>
      <c r="H63" s="19">
        <f>2.66*D63+114.9</f>
        <v>313.93006666666668</v>
      </c>
      <c r="I63" s="19">
        <v>78.48417795440929</v>
      </c>
      <c r="J63" s="16">
        <v>0.67909365074290795</v>
      </c>
      <c r="K63" s="16">
        <v>0.45119182157082199</v>
      </c>
      <c r="L63" s="16">
        <v>0.90302954858620799</v>
      </c>
      <c r="M63" s="19">
        <v>206.86359770081401</v>
      </c>
      <c r="N63" s="19">
        <v>125.711581804671</v>
      </c>
      <c r="O63" s="19">
        <v>299.30405253944599</v>
      </c>
    </row>
    <row r="64" spans="1:15" x14ac:dyDescent="0.2">
      <c r="A64" s="14" t="s">
        <v>48</v>
      </c>
      <c r="B64" s="15">
        <v>89</v>
      </c>
      <c r="C64" s="16">
        <v>2.2966771653543305</v>
      </c>
      <c r="D64" s="17">
        <v>103.96</v>
      </c>
      <c r="E64" s="18">
        <v>-6.4859999999999998</v>
      </c>
      <c r="F64" s="18">
        <v>-6.7439999999999998</v>
      </c>
      <c r="G64" s="18">
        <v>-24.484999999999999</v>
      </c>
      <c r="H64" s="19">
        <f>2.66*D64+114.9</f>
        <v>391.43359999999996</v>
      </c>
      <c r="I64" s="19">
        <v>84.776182307039491</v>
      </c>
      <c r="J64" s="16">
        <v>0.55317416091878002</v>
      </c>
      <c r="K64" s="16">
        <v>0.36487489559912201</v>
      </c>
      <c r="L64" s="16">
        <v>0.74064163558330098</v>
      </c>
      <c r="M64" s="19">
        <v>210.72533043387099</v>
      </c>
      <c r="N64" s="19">
        <v>129.48552988385299</v>
      </c>
      <c r="O64" s="19">
        <v>305.99078307490601</v>
      </c>
    </row>
    <row r="65" spans="1:15" x14ac:dyDescent="0.2">
      <c r="A65" s="14" t="s">
        <v>49</v>
      </c>
      <c r="B65" s="15" t="s">
        <v>50</v>
      </c>
      <c r="C65" s="16">
        <v>2.3417395275590547</v>
      </c>
      <c r="D65" s="17">
        <v>72.484999999999999</v>
      </c>
      <c r="E65" s="18">
        <v>-4.4660000000000002</v>
      </c>
      <c r="F65" s="18">
        <v>-8.7219999999999995</v>
      </c>
      <c r="G65" s="18">
        <v>-23.786999999999999</v>
      </c>
      <c r="H65" s="19">
        <f>2.66*D65+114.9</f>
        <v>307.71010000000001</v>
      </c>
      <c r="I65" s="19">
        <v>78.050240876178307</v>
      </c>
      <c r="J65" s="16">
        <v>0.83108501647681599</v>
      </c>
      <c r="K65" s="16">
        <v>0.66074313448177302</v>
      </c>
      <c r="L65" s="16">
        <v>1.0011265397476401</v>
      </c>
      <c r="M65" s="19">
        <v>251.49930737146599</v>
      </c>
      <c r="N65" s="19">
        <v>173.54474374175001</v>
      </c>
      <c r="O65" s="19">
        <v>339.12974660174001</v>
      </c>
    </row>
    <row r="66" spans="1:15" x14ac:dyDescent="0.2">
      <c r="A66" s="14" t="s">
        <v>49</v>
      </c>
      <c r="B66" s="15" t="s">
        <v>50</v>
      </c>
      <c r="C66" s="16">
        <v>2.3496595275590533</v>
      </c>
      <c r="D66" s="17">
        <v>85.38</v>
      </c>
      <c r="E66" s="18">
        <v>-5.6820000000000004</v>
      </c>
      <c r="F66" s="18">
        <v>-8.39</v>
      </c>
      <c r="G66" s="18">
        <v>-23.542000000000002</v>
      </c>
      <c r="H66" s="19">
        <f>2.66*D66+114.9</f>
        <v>342.01080000000002</v>
      </c>
      <c r="I66" s="19">
        <v>80.580831011369881</v>
      </c>
      <c r="J66" s="16">
        <v>0.55602008173744899</v>
      </c>
      <c r="K66" s="16">
        <v>0.42330807652633401</v>
      </c>
      <c r="L66" s="16">
        <v>0.68432392256573005</v>
      </c>
      <c r="M66" s="19">
        <v>187.16221364061499</v>
      </c>
      <c r="N66" s="19">
        <v>126.00769611783799</v>
      </c>
      <c r="O66" s="19">
        <v>253.971394778796</v>
      </c>
    </row>
    <row r="67" spans="1:15" x14ac:dyDescent="0.2">
      <c r="A67" s="14" t="s">
        <v>49</v>
      </c>
      <c r="B67" s="15" t="s">
        <v>50</v>
      </c>
      <c r="C67" s="16">
        <v>2.3506495275590531</v>
      </c>
      <c r="D67" s="17">
        <v>86.27</v>
      </c>
      <c r="E67" s="18">
        <v>-5.7009999999999996</v>
      </c>
      <c r="F67" s="18">
        <v>-8.2349999999999994</v>
      </c>
      <c r="G67" s="18">
        <v>-23.526</v>
      </c>
      <c r="H67" s="19">
        <f>2.66*D67+114.9</f>
        <v>344.37819999999999</v>
      </c>
      <c r="I67" s="19">
        <v>80.767542950974288</v>
      </c>
      <c r="J67" s="16">
        <v>0.53255624913660404</v>
      </c>
      <c r="K67" s="16">
        <v>0.41156513838956599</v>
      </c>
      <c r="L67" s="16">
        <v>0.65696304558987095</v>
      </c>
      <c r="M67" s="19">
        <v>181.33405536621899</v>
      </c>
      <c r="N67" s="19">
        <v>122.989513925399</v>
      </c>
      <c r="O67" s="19">
        <v>241.66476432542601</v>
      </c>
    </row>
    <row r="68" spans="1:15" x14ac:dyDescent="0.2">
      <c r="A68" s="14" t="s">
        <v>49</v>
      </c>
      <c r="B68" s="15" t="s">
        <v>50</v>
      </c>
      <c r="C68" s="16">
        <v>2.3516395275590529</v>
      </c>
      <c r="D68" s="17">
        <v>87.16</v>
      </c>
      <c r="E68" s="18">
        <v>-4.9880000000000004</v>
      </c>
      <c r="F68" s="18">
        <v>-7.8289999999999997</v>
      </c>
      <c r="G68" s="18">
        <v>-23.821999999999999</v>
      </c>
      <c r="H68" s="19">
        <f>2.66*D68+114.9</f>
        <v>346.74559999999997</v>
      </c>
      <c r="I68" s="19">
        <v>80.955753739464598</v>
      </c>
      <c r="J68" s="16">
        <v>0.69658332923237598</v>
      </c>
      <c r="K68" s="16">
        <v>0.552139485445161</v>
      </c>
      <c r="L68" s="16">
        <v>0.84039111615823403</v>
      </c>
      <c r="M68" s="19">
        <v>238.357503630042</v>
      </c>
      <c r="N68" s="19">
        <v>166.86283819470799</v>
      </c>
      <c r="O68" s="19">
        <v>317.341366215628</v>
      </c>
    </row>
    <row r="69" spans="1:15" x14ac:dyDescent="0.2">
      <c r="A69" s="14" t="s">
        <v>49</v>
      </c>
      <c r="B69" s="15" t="s">
        <v>50</v>
      </c>
      <c r="C69" s="16">
        <v>2.3536195275590526</v>
      </c>
      <c r="D69" s="17">
        <v>76.38</v>
      </c>
      <c r="E69" s="18">
        <v>-4.7069999999999999</v>
      </c>
      <c r="F69" s="18">
        <v>0</v>
      </c>
      <c r="G69" s="18">
        <v>-23.934999999999999</v>
      </c>
      <c r="H69" s="19">
        <f>2.66*D69+114.9</f>
        <v>318.07079999999996</v>
      </c>
      <c r="I69" s="19">
        <v>78.77932057396113</v>
      </c>
      <c r="J69" s="16">
        <v>0.76382549431504998</v>
      </c>
      <c r="K69" s="16">
        <v>0.611382824127919</v>
      </c>
      <c r="L69" s="16">
        <v>0.917584638458813</v>
      </c>
      <c r="M69" s="19">
        <v>240.687011626388</v>
      </c>
      <c r="N69" s="19">
        <v>166.19272776763799</v>
      </c>
      <c r="O69" s="19">
        <v>320.26974334535902</v>
      </c>
    </row>
    <row r="70" spans="1:15" x14ac:dyDescent="0.2">
      <c r="A70" s="14" t="s">
        <v>51</v>
      </c>
      <c r="B70" s="15" t="s">
        <v>52</v>
      </c>
      <c r="C70" s="16">
        <v>2.5499103084415471</v>
      </c>
      <c r="D70" s="17">
        <v>190.8</v>
      </c>
      <c r="E70" s="18">
        <v>-6.7869999999999999</v>
      </c>
      <c r="F70" s="18">
        <v>-6.9569999999999999</v>
      </c>
      <c r="G70" s="18">
        <v>-24.056999999999999</v>
      </c>
      <c r="H70" s="19">
        <f>2.66*D70+114.9</f>
        <v>622.42800000000011</v>
      </c>
      <c r="I70" s="19">
        <v>110.61046202804704</v>
      </c>
      <c r="J70" s="16">
        <v>0.46434930308003403</v>
      </c>
      <c r="K70" s="16">
        <v>0.22295986947811799</v>
      </c>
      <c r="L70" s="16">
        <v>0.70196209626348205</v>
      </c>
      <c r="M70" s="19">
        <v>266.39664770172698</v>
      </c>
      <c r="N70" s="19">
        <v>132.800456778626</v>
      </c>
      <c r="O70" s="19">
        <v>444.66876013853101</v>
      </c>
    </row>
    <row r="71" spans="1:15" x14ac:dyDescent="0.2">
      <c r="A71" s="14" t="s">
        <v>51</v>
      </c>
      <c r="B71" s="15" t="s">
        <v>52</v>
      </c>
      <c r="C71" s="16">
        <v>2.553319399350638</v>
      </c>
      <c r="D71" s="17">
        <v>198.80500000000001</v>
      </c>
      <c r="E71" s="18">
        <v>-7.1669999999999998</v>
      </c>
      <c r="F71" s="18">
        <v>-7.125</v>
      </c>
      <c r="G71" s="18">
        <v>-24.145</v>
      </c>
      <c r="H71" s="19">
        <f>2.66*D71+114.9</f>
        <v>643.72130000000004</v>
      </c>
      <c r="I71" s="19">
        <v>113.35648894218687</v>
      </c>
      <c r="J71" s="16">
        <v>0.41779795684277998</v>
      </c>
      <c r="K71" s="16">
        <v>0.18915691710591001</v>
      </c>
      <c r="L71" s="16">
        <v>0.63940055054259004</v>
      </c>
      <c r="M71" s="19">
        <v>246.574242543183</v>
      </c>
      <c r="N71" s="19">
        <v>115.244377950223</v>
      </c>
      <c r="O71" s="19">
        <v>419.63584882416399</v>
      </c>
    </row>
    <row r="72" spans="1:15" x14ac:dyDescent="0.2">
      <c r="A72" s="14" t="s">
        <v>51</v>
      </c>
      <c r="B72" s="15" t="s">
        <v>52</v>
      </c>
      <c r="C72" s="16">
        <v>2.5601375811688198</v>
      </c>
      <c r="D72" s="17">
        <v>180.785</v>
      </c>
      <c r="E72" s="18">
        <v>-7.306</v>
      </c>
      <c r="F72" s="18">
        <v>-3.0259999999999998</v>
      </c>
      <c r="G72" s="18">
        <v>-24.317</v>
      </c>
      <c r="H72" s="19">
        <f>2.66*D72+114.9</f>
        <v>595.78809999999999</v>
      </c>
      <c r="I72" s="19">
        <v>107.24185922862772</v>
      </c>
      <c r="J72" s="16">
        <v>0.413928625189252</v>
      </c>
      <c r="K72" s="16">
        <v>0.18680307254238299</v>
      </c>
      <c r="L72" s="16">
        <v>0.63919515556407402</v>
      </c>
      <c r="M72" s="19">
        <v>227.698753953976</v>
      </c>
      <c r="N72" s="19">
        <v>104.62168295432799</v>
      </c>
      <c r="O72" s="19">
        <v>384.56116552342502</v>
      </c>
    </row>
    <row r="73" spans="1:15" x14ac:dyDescent="0.2">
      <c r="A73" s="14" t="s">
        <v>51</v>
      </c>
      <c r="B73" s="15" t="s">
        <v>52</v>
      </c>
      <c r="C73" s="16">
        <v>2.5669557629870017</v>
      </c>
      <c r="D73" s="17">
        <v>146.58499999999998</v>
      </c>
      <c r="E73" s="18">
        <v>-4.3049999999999997</v>
      </c>
      <c r="F73" s="18">
        <v>-9.0030000000000001</v>
      </c>
      <c r="G73" s="18">
        <v>-23.055</v>
      </c>
      <c r="H73" s="19">
        <f>2.66*D73+114.9</f>
        <v>504.81610000000001</v>
      </c>
      <c r="I73" s="19">
        <v>96.400078152932537</v>
      </c>
      <c r="J73" s="16">
        <v>0.82590889363314601</v>
      </c>
      <c r="K73" s="16">
        <v>0.43193371119969598</v>
      </c>
      <c r="L73" s="16">
        <v>1.2037539590494399</v>
      </c>
      <c r="M73" s="19">
        <v>376.77507031792197</v>
      </c>
      <c r="N73" s="19">
        <v>204.36678075454199</v>
      </c>
      <c r="O73" s="19">
        <v>617.50999640590601</v>
      </c>
    </row>
    <row r="74" spans="1:15" x14ac:dyDescent="0.2">
      <c r="A74" s="14" t="s">
        <v>51</v>
      </c>
      <c r="B74" s="15" t="s">
        <v>52</v>
      </c>
      <c r="C74" s="16">
        <v>2.5771830357142735</v>
      </c>
      <c r="D74" s="17">
        <v>116.5</v>
      </c>
      <c r="E74" s="18">
        <v>-4.2210000000000001</v>
      </c>
      <c r="F74" s="18">
        <v>-8.8659999999999997</v>
      </c>
      <c r="G74" s="18">
        <v>-22.843</v>
      </c>
      <c r="H74" s="19">
        <f>2.66*D74+114.9</f>
        <v>424.79000000000008</v>
      </c>
      <c r="I74" s="19">
        <v>87.932752156275214</v>
      </c>
      <c r="J74" s="16">
        <v>0.90511310351623397</v>
      </c>
      <c r="K74" s="16">
        <v>0.46047700087481203</v>
      </c>
      <c r="L74" s="16">
        <v>1.3202640247270401</v>
      </c>
      <c r="M74" s="19">
        <v>341.21478431458002</v>
      </c>
      <c r="N74" s="19">
        <v>182.135060171974</v>
      </c>
      <c r="O74" s="19">
        <v>573.16432893307001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Da, Jiawei</dc:creator>
  <cp:lastModifiedBy>Da, Jiawei</cp:lastModifiedBy>
  <dcterms:created xsi:type="dcterms:W3CDTF">2024-11-10T14:20:03Z</dcterms:created>
  <dcterms:modified xsi:type="dcterms:W3CDTF">2024-11-10T14:25:03Z</dcterms:modified>
</cp:coreProperties>
</file>